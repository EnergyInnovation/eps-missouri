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O\add-outputs\HOIpTP\"/>
    </mc:Choice>
  </mc:AlternateContent>
  <xr:revisionPtr revIDLastSave="0" documentId="8_{BF450CC0-6217-463F-85E0-1ECEA97E909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E17" i="19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C15" i="19" s="1"/>
  <c r="AB14" i="19"/>
  <c r="V14" i="19"/>
  <c r="T14" i="19"/>
  <c r="B14" i="19"/>
  <c r="AA14" i="19" s="1"/>
  <c r="AA13" i="19"/>
  <c r="Y13" i="19"/>
  <c r="T13" i="19"/>
  <c r="Q13" i="19"/>
  <c r="P13" i="19"/>
  <c r="O13" i="19"/>
  <c r="M13" i="19"/>
  <c r="K13" i="19"/>
  <c r="B13" i="19"/>
  <c r="J13" i="19" s="1"/>
  <c r="U12" i="19"/>
  <c r="T12" i="19"/>
  <c r="Q12" i="19"/>
  <c r="J12" i="19"/>
  <c r="I12" i="19"/>
  <c r="H12" i="19"/>
  <c r="G12" i="19"/>
  <c r="F12" i="19"/>
  <c r="C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Z8" i="19"/>
  <c r="W8" i="19"/>
  <c r="S8" i="19"/>
  <c r="R8" i="19"/>
  <c r="Q8" i="19"/>
  <c r="P8" i="19"/>
  <c r="O8" i="19"/>
  <c r="M8" i="19"/>
  <c r="K8" i="19"/>
  <c r="F8" i="19"/>
  <c r="B8" i="19"/>
  <c r="L8" i="19" s="1"/>
  <c r="B7" i="19"/>
  <c r="R7" i="19" s="1"/>
  <c r="W6" i="19"/>
  <c r="R6" i="19"/>
  <c r="N6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Y3" i="19"/>
  <c r="V3" i="19"/>
  <c r="S3" i="19"/>
  <c r="R3" i="19"/>
  <c r="Q3" i="19"/>
  <c r="P3" i="19"/>
  <c r="N3" i="19"/>
  <c r="K3" i="19"/>
  <c r="J3" i="19"/>
  <c r="B3" i="19"/>
  <c r="O3" i="19" s="1"/>
  <c r="AB2" i="19"/>
  <c r="Z2" i="19"/>
  <c r="W2" i="19"/>
  <c r="S2" i="19"/>
  <c r="R2" i="19"/>
  <c r="P2" i="19"/>
  <c r="O2" i="19"/>
  <c r="N2" i="19"/>
  <c r="H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AB17" i="18"/>
  <c r="AA17" i="18"/>
  <c r="L17" i="18"/>
  <c r="D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AB15" i="18"/>
  <c r="Z15" i="18"/>
  <c r="W15" i="18"/>
  <c r="S15" i="18"/>
  <c r="Q15" i="18"/>
  <c r="M15" i="18"/>
  <c r="K15" i="18"/>
  <c r="E15" i="18"/>
  <c r="D15" i="18"/>
  <c r="B15" i="18"/>
  <c r="C15" i="18" s="1"/>
  <c r="Q14" i="18"/>
  <c r="B14" i="18"/>
  <c r="AB14" i="18" s="1"/>
  <c r="B13" i="18"/>
  <c r="Q13" i="18" s="1"/>
  <c r="AB12" i="18"/>
  <c r="Y12" i="18"/>
  <c r="X12" i="18"/>
  <c r="B12" i="18"/>
  <c r="Z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B8" i="18"/>
  <c r="E8" i="18" s="1"/>
  <c r="AB7" i="18"/>
  <c r="H7" i="18"/>
  <c r="D7" i="18"/>
  <c r="C7" i="18"/>
  <c r="B7" i="18"/>
  <c r="AA7" i="18" s="1"/>
  <c r="J6" i="18"/>
  <c r="I6" i="18"/>
  <c r="E6" i="18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V3" i="18"/>
  <c r="R3" i="18"/>
  <c r="Q3" i="18"/>
  <c r="P3" i="18"/>
  <c r="N3" i="18"/>
  <c r="M3" i="18"/>
  <c r="J3" i="18"/>
  <c r="I3" i="18"/>
  <c r="B3" i="18"/>
  <c r="Z3" i="18" s="1"/>
  <c r="S2" i="18"/>
  <c r="O2" i="18"/>
  <c r="M2" i="18"/>
  <c r="L2" i="18"/>
  <c r="K2" i="18"/>
  <c r="J2" i="18"/>
  <c r="G2" i="18"/>
  <c r="D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B15" i="17"/>
  <c r="B14" i="17"/>
  <c r="C14" i="17" s="1"/>
  <c r="B13" i="17"/>
  <c r="T12" i="17"/>
  <c r="S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R8" i="17"/>
  <c r="O8" i="17"/>
  <c r="J8" i="17"/>
  <c r="H8" i="17"/>
  <c r="F8" i="17"/>
  <c r="D8" i="17"/>
  <c r="C8" i="17"/>
  <c r="B8" i="17"/>
  <c r="AB8" i="17" s="1"/>
  <c r="B7" i="17"/>
  <c r="Z7" i="17" s="1"/>
  <c r="Q6" i="17"/>
  <c r="M6" i="17"/>
  <c r="L6" i="17"/>
  <c r="G6" i="17"/>
  <c r="E6" i="17"/>
  <c r="B6" i="17"/>
  <c r="C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F2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AB17" i="16"/>
  <c r="Z17" i="16"/>
  <c r="Y17" i="16"/>
  <c r="V17" i="16"/>
  <c r="H17" i="16"/>
  <c r="B17" i="16"/>
  <c r="U17" i="16" s="1"/>
  <c r="B16" i="16"/>
  <c r="AA15" i="16"/>
  <c r="X15" i="16"/>
  <c r="K15" i="16"/>
  <c r="B15" i="16"/>
  <c r="Y15" i="16" s="1"/>
  <c r="B14" i="16"/>
  <c r="AB14" i="16" s="1"/>
  <c r="X13" i="16"/>
  <c r="W13" i="16"/>
  <c r="B13" i="16"/>
  <c r="J13" i="16" s="1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T7" i="16"/>
  <c r="S7" i="16"/>
  <c r="R7" i="16"/>
  <c r="O7" i="16"/>
  <c r="M7" i="16"/>
  <c r="J7" i="16"/>
  <c r="I7" i="16"/>
  <c r="H7" i="16"/>
  <c r="G7" i="16"/>
  <c r="F7" i="16"/>
  <c r="E7" i="16"/>
  <c r="D7" i="16"/>
  <c r="C7" i="16"/>
  <c r="B7" i="16"/>
  <c r="Z7" i="16" s="1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Y2" i="16"/>
  <c r="W2" i="16"/>
  <c r="U2" i="16"/>
  <c r="K2" i="16"/>
  <c r="D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B17" i="15"/>
  <c r="T17" i="15" s="1"/>
  <c r="AA16" i="15"/>
  <c r="Z16" i="15"/>
  <c r="T16" i="15"/>
  <c r="Q16" i="15"/>
  <c r="K16" i="15"/>
  <c r="E16" i="15"/>
  <c r="C16" i="15"/>
  <c r="B16" i="15"/>
  <c r="AA15" i="15"/>
  <c r="Y15" i="15"/>
  <c r="X15" i="15"/>
  <c r="V15" i="15"/>
  <c r="U15" i="15"/>
  <c r="T15" i="15"/>
  <c r="S15" i="15"/>
  <c r="I15" i="15"/>
  <c r="G15" i="15"/>
  <c r="E15" i="15"/>
  <c r="B15" i="15"/>
  <c r="K15" i="15" s="1"/>
  <c r="B14" i="15"/>
  <c r="D14" i="15" s="1"/>
  <c r="AA13" i="15"/>
  <c r="Z13" i="15"/>
  <c r="W13" i="15"/>
  <c r="V13" i="15"/>
  <c r="T13" i="15"/>
  <c r="S13" i="15"/>
  <c r="R13" i="15"/>
  <c r="Q13" i="15"/>
  <c r="O13" i="15"/>
  <c r="N13" i="15"/>
  <c r="M13" i="15"/>
  <c r="L13" i="15"/>
  <c r="K13" i="15"/>
  <c r="J13" i="15"/>
  <c r="I13" i="15"/>
  <c r="H13" i="15"/>
  <c r="G13" i="15"/>
  <c r="F13" i="15"/>
  <c r="D13" i="15"/>
  <c r="C13" i="15"/>
  <c r="B13" i="15"/>
  <c r="P13" i="15" s="1"/>
  <c r="AA12" i="15"/>
  <c r="Z12" i="15"/>
  <c r="X12" i="15"/>
  <c r="W12" i="15"/>
  <c r="V12" i="15"/>
  <c r="T12" i="15"/>
  <c r="S12" i="15"/>
  <c r="R12" i="15"/>
  <c r="P12" i="15"/>
  <c r="O12" i="15"/>
  <c r="N12" i="15"/>
  <c r="M12" i="15"/>
  <c r="L12" i="15"/>
  <c r="K12" i="15"/>
  <c r="J12" i="15"/>
  <c r="I12" i="15"/>
  <c r="H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Z8" i="15"/>
  <c r="Y8" i="15"/>
  <c r="W8" i="15"/>
  <c r="T8" i="15"/>
  <c r="R8" i="15"/>
  <c r="O8" i="15"/>
  <c r="N8" i="15"/>
  <c r="M8" i="15"/>
  <c r="L8" i="15"/>
  <c r="K8" i="15"/>
  <c r="H8" i="15"/>
  <c r="G8" i="15"/>
  <c r="F8" i="15"/>
  <c r="C8" i="15"/>
  <c r="B8" i="15"/>
  <c r="J8" i="15" s="1"/>
  <c r="B7" i="15"/>
  <c r="W7" i="15" s="1"/>
  <c r="AB6" i="15"/>
  <c r="AA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Y3" i="15"/>
  <c r="T3" i="15"/>
  <c r="Q3" i="15"/>
  <c r="N3" i="15"/>
  <c r="I3" i="15"/>
  <c r="E3" i="15"/>
  <c r="B3" i="15"/>
  <c r="U2" i="15"/>
  <c r="S2" i="15"/>
  <c r="R2" i="15"/>
  <c r="Q2" i="15"/>
  <c r="P2" i="15"/>
  <c r="B2" i="15"/>
  <c r="AA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B17" i="14"/>
  <c r="C17" i="14" s="1"/>
  <c r="H16" i="14"/>
  <c r="B16" i="14"/>
  <c r="AB15" i="14"/>
  <c r="AA15" i="14"/>
  <c r="Z15" i="14"/>
  <c r="Y15" i="14"/>
  <c r="W15" i="14"/>
  <c r="U15" i="14"/>
  <c r="T15" i="14"/>
  <c r="S15" i="14"/>
  <c r="P15" i="14"/>
  <c r="M15" i="14"/>
  <c r="K15" i="14"/>
  <c r="J15" i="14"/>
  <c r="E15" i="14"/>
  <c r="D15" i="14"/>
  <c r="C15" i="14"/>
  <c r="B15" i="14"/>
  <c r="B14" i="14"/>
  <c r="X13" i="14"/>
  <c r="B13" i="14"/>
  <c r="B12" i="14"/>
  <c r="E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V7" i="14"/>
  <c r="S7" i="14"/>
  <c r="R7" i="14"/>
  <c r="P7" i="14"/>
  <c r="N7" i="14"/>
  <c r="M7" i="14"/>
  <c r="K7" i="14"/>
  <c r="J7" i="14"/>
  <c r="I7" i="14"/>
  <c r="H7" i="14"/>
  <c r="G7" i="14"/>
  <c r="E7" i="14"/>
  <c r="D7" i="14"/>
  <c r="C7" i="14"/>
  <c r="B7" i="14"/>
  <c r="Z7" i="14" s="1"/>
  <c r="N6" i="14"/>
  <c r="H6" i="14"/>
  <c r="G6" i="14"/>
  <c r="B6" i="14"/>
  <c r="AA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V3" i="14"/>
  <c r="U3" i="14"/>
  <c r="L3" i="14"/>
  <c r="K3" i="14"/>
  <c r="G3" i="14"/>
  <c r="F3" i="14"/>
  <c r="D3" i="14"/>
  <c r="B3" i="14"/>
  <c r="AB2" i="14"/>
  <c r="Z2" i="14"/>
  <c r="Y2" i="14"/>
  <c r="X2" i="14"/>
  <c r="V2" i="14"/>
  <c r="U2" i="14"/>
  <c r="R2" i="14"/>
  <c r="P2" i="14"/>
  <c r="O2" i="14"/>
  <c r="L2" i="14"/>
  <c r="G2" i="14"/>
  <c r="F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C17" i="13"/>
  <c r="B17" i="13"/>
  <c r="U16" i="13"/>
  <c r="T16" i="13"/>
  <c r="H16" i="13"/>
  <c r="G16" i="13"/>
  <c r="B16" i="13"/>
  <c r="AA16" i="13" s="1"/>
  <c r="AB15" i="13"/>
  <c r="AA15" i="13"/>
  <c r="Y15" i="13"/>
  <c r="V15" i="13"/>
  <c r="T15" i="13"/>
  <c r="R15" i="13"/>
  <c r="Q15" i="13"/>
  <c r="P15" i="13"/>
  <c r="O15" i="13"/>
  <c r="N15" i="13"/>
  <c r="M15" i="13"/>
  <c r="L15" i="13"/>
  <c r="K15" i="13"/>
  <c r="I15" i="13"/>
  <c r="H15" i="13"/>
  <c r="G15" i="13"/>
  <c r="D15" i="13"/>
  <c r="C15" i="13"/>
  <c r="B15" i="13"/>
  <c r="X15" i="13" s="1"/>
  <c r="AA14" i="13"/>
  <c r="W14" i="13"/>
  <c r="V14" i="13"/>
  <c r="S14" i="13"/>
  <c r="R14" i="13"/>
  <c r="Q14" i="13"/>
  <c r="P14" i="13"/>
  <c r="O14" i="13"/>
  <c r="N14" i="13"/>
  <c r="M14" i="13"/>
  <c r="L14" i="13"/>
  <c r="J14" i="13"/>
  <c r="H14" i="13"/>
  <c r="F14" i="13"/>
  <c r="B14" i="13"/>
  <c r="U14" i="13" s="1"/>
  <c r="B13" i="13"/>
  <c r="T13" i="13" s="1"/>
  <c r="X12" i="13"/>
  <c r="W12" i="13"/>
  <c r="T12" i="13"/>
  <c r="S12" i="13"/>
  <c r="O12" i="13"/>
  <c r="B12" i="13"/>
  <c r="L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B8" i="13"/>
  <c r="Q8" i="13" s="1"/>
  <c r="AB7" i="13"/>
  <c r="B7" i="13"/>
  <c r="G7" i="13" s="1"/>
  <c r="Z6" i="13"/>
  <c r="P6" i="13"/>
  <c r="O6" i="13"/>
  <c r="M6" i="13"/>
  <c r="K6" i="13"/>
  <c r="J6" i="13"/>
  <c r="H6" i="13"/>
  <c r="G6" i="13"/>
  <c r="B6" i="13"/>
  <c r="AB6" i="13" s="1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V3" i="13"/>
  <c r="P3" i="13"/>
  <c r="N3" i="13"/>
  <c r="M3" i="13"/>
  <c r="L3" i="13"/>
  <c r="K3" i="13"/>
  <c r="J3" i="13"/>
  <c r="I3" i="13"/>
  <c r="F3" i="13"/>
  <c r="E3" i="13"/>
  <c r="D3" i="13"/>
  <c r="C3" i="13"/>
  <c r="B3" i="13"/>
  <c r="AA3" i="13" s="1"/>
  <c r="AB2" i="13"/>
  <c r="Z2" i="13"/>
  <c r="Y2" i="13"/>
  <c r="X2" i="13"/>
  <c r="V2" i="13"/>
  <c r="R2" i="13"/>
  <c r="Q2" i="13"/>
  <c r="O2" i="13"/>
  <c r="N2" i="13"/>
  <c r="M2" i="13"/>
  <c r="L2" i="13"/>
  <c r="J2" i="13"/>
  <c r="I2" i="13"/>
  <c r="H2" i="13"/>
  <c r="G2" i="13"/>
  <c r="F2" i="13"/>
  <c r="E2" i="13"/>
  <c r="D2" i="13"/>
  <c r="C2" i="13"/>
  <c r="B2" i="13"/>
  <c r="S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O17" i="12"/>
  <c r="G17" i="12"/>
  <c r="B17" i="12"/>
  <c r="T17" i="12" s="1"/>
  <c r="AB16" i="12"/>
  <c r="AA16" i="12"/>
  <c r="Z16" i="12"/>
  <c r="J16" i="12"/>
  <c r="C16" i="12"/>
  <c r="B16" i="12"/>
  <c r="Y15" i="12"/>
  <c r="Q15" i="12"/>
  <c r="P15" i="12"/>
  <c r="O15" i="12"/>
  <c r="M15" i="12"/>
  <c r="L15" i="12"/>
  <c r="B15" i="12"/>
  <c r="F15" i="12" s="1"/>
  <c r="W14" i="12"/>
  <c r="V14" i="12"/>
  <c r="K14" i="12"/>
  <c r="B14" i="12"/>
  <c r="R14" i="12" s="1"/>
  <c r="B13" i="12"/>
  <c r="AB12" i="12"/>
  <c r="AA12" i="12"/>
  <c r="Z12" i="12"/>
  <c r="H12" i="12"/>
  <c r="B12" i="12"/>
  <c r="C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Y8" i="12"/>
  <c r="F8" i="12"/>
  <c r="B8" i="12"/>
  <c r="X8" i="12" s="1"/>
  <c r="AB7" i="12"/>
  <c r="AA7" i="12"/>
  <c r="Z7" i="12"/>
  <c r="X7" i="12"/>
  <c r="W7" i="12"/>
  <c r="S7" i="12"/>
  <c r="P7" i="12"/>
  <c r="K7" i="12"/>
  <c r="F7" i="12"/>
  <c r="E7" i="12"/>
  <c r="D7" i="12"/>
  <c r="B7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Y3" i="12"/>
  <c r="L3" i="12"/>
  <c r="K3" i="12"/>
  <c r="I3" i="12"/>
  <c r="G3" i="12"/>
  <c r="F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D17" i="11"/>
  <c r="C17" i="11"/>
  <c r="B17" i="11"/>
  <c r="J17" i="11" s="1"/>
  <c r="AB16" i="11"/>
  <c r="Y16" i="11"/>
  <c r="W16" i="11"/>
  <c r="V16" i="11"/>
  <c r="D16" i="11"/>
  <c r="B16" i="11"/>
  <c r="AA16" i="11" s="1"/>
  <c r="B15" i="11"/>
  <c r="W15" i="11" s="1"/>
  <c r="AB14" i="11"/>
  <c r="AA14" i="11"/>
  <c r="X14" i="11"/>
  <c r="W14" i="11"/>
  <c r="V14" i="11"/>
  <c r="T14" i="11"/>
  <c r="R14" i="11"/>
  <c r="Q14" i="11"/>
  <c r="O14" i="11"/>
  <c r="N14" i="11"/>
  <c r="L14" i="11"/>
  <c r="K14" i="11"/>
  <c r="J14" i="11"/>
  <c r="I14" i="11"/>
  <c r="H14" i="11"/>
  <c r="G14" i="11"/>
  <c r="F14" i="11"/>
  <c r="E14" i="11"/>
  <c r="B14" i="11"/>
  <c r="U14" i="11" s="1"/>
  <c r="M13" i="11"/>
  <c r="B13" i="11"/>
  <c r="AB12" i="11"/>
  <c r="Z12" i="11"/>
  <c r="Y12" i="11"/>
  <c r="X12" i="11"/>
  <c r="U12" i="11"/>
  <c r="T12" i="11"/>
  <c r="P12" i="11"/>
  <c r="O12" i="11"/>
  <c r="J12" i="11"/>
  <c r="I12" i="11"/>
  <c r="G12" i="11"/>
  <c r="F12" i="11"/>
  <c r="E12" i="11"/>
  <c r="B12" i="11"/>
  <c r="C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T8" i="11"/>
  <c r="S8" i="11"/>
  <c r="R8" i="11"/>
  <c r="Q8" i="11"/>
  <c r="P8" i="11"/>
  <c r="O8" i="11"/>
  <c r="N8" i="11"/>
  <c r="K8" i="11"/>
  <c r="J8" i="11"/>
  <c r="I8" i="11"/>
  <c r="E8" i="11"/>
  <c r="D8" i="11"/>
  <c r="B8" i="11"/>
  <c r="AA7" i="11"/>
  <c r="Z7" i="11"/>
  <c r="X7" i="11"/>
  <c r="V7" i="11"/>
  <c r="U7" i="11"/>
  <c r="R7" i="11"/>
  <c r="P7" i="11"/>
  <c r="O7" i="11"/>
  <c r="N7" i="11"/>
  <c r="M7" i="11"/>
  <c r="L7" i="11"/>
  <c r="K7" i="11"/>
  <c r="J7" i="11"/>
  <c r="I7" i="11"/>
  <c r="H7" i="11"/>
  <c r="G7" i="11"/>
  <c r="F7" i="11"/>
  <c r="E7" i="11"/>
  <c r="B7" i="11"/>
  <c r="S7" i="11" s="1"/>
  <c r="B6" i="11"/>
  <c r="I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H3" i="11"/>
  <c r="C3" i="11"/>
  <c r="B3" i="11"/>
  <c r="B2" i="11"/>
  <c r="N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W15" i="10"/>
  <c r="T15" i="10"/>
  <c r="R15" i="10"/>
  <c r="Q15" i="10"/>
  <c r="P15" i="10"/>
  <c r="O15" i="10"/>
  <c r="N15" i="10"/>
  <c r="M15" i="10"/>
  <c r="L15" i="10"/>
  <c r="B15" i="10"/>
  <c r="C15" i="10" s="1"/>
  <c r="AB14" i="10"/>
  <c r="Y14" i="10"/>
  <c r="W14" i="10"/>
  <c r="V14" i="10"/>
  <c r="U14" i="10"/>
  <c r="T14" i="10"/>
  <c r="S14" i="10"/>
  <c r="R14" i="10"/>
  <c r="Q14" i="10"/>
  <c r="P14" i="10"/>
  <c r="O14" i="10"/>
  <c r="N14" i="10"/>
  <c r="L14" i="10"/>
  <c r="K14" i="10"/>
  <c r="F14" i="10"/>
  <c r="E14" i="10"/>
  <c r="D14" i="10"/>
  <c r="C14" i="10"/>
  <c r="B14" i="10"/>
  <c r="Z14" i="10" s="1"/>
  <c r="B13" i="10"/>
  <c r="Y13" i="10" s="1"/>
  <c r="B12" i="10"/>
  <c r="G12" i="10" s="1"/>
  <c r="C11" i="10"/>
  <c r="B11" i="10"/>
  <c r="B10" i="10"/>
  <c r="B9" i="10"/>
  <c r="B8" i="10"/>
  <c r="Q8" i="10" s="1"/>
  <c r="X7" i="10"/>
  <c r="B7" i="10"/>
  <c r="B6" i="10"/>
  <c r="R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AA2" i="10"/>
  <c r="Z2" i="10"/>
  <c r="X2" i="10"/>
  <c r="V2" i="10"/>
  <c r="U2" i="10"/>
  <c r="P2" i="10"/>
  <c r="J2" i="10"/>
  <c r="H2" i="10"/>
  <c r="D2" i="10"/>
  <c r="C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U17" i="9"/>
  <c r="T17" i="9"/>
  <c r="S17" i="9"/>
  <c r="R17" i="9"/>
  <c r="Q17" i="9"/>
  <c r="P17" i="9"/>
  <c r="O17" i="9"/>
  <c r="M17" i="9"/>
  <c r="K17" i="9"/>
  <c r="J17" i="9"/>
  <c r="F17" i="9"/>
  <c r="E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K15" i="9" s="1"/>
  <c r="AB14" i="9"/>
  <c r="O14" i="9"/>
  <c r="K14" i="9"/>
  <c r="H14" i="9"/>
  <c r="G14" i="9"/>
  <c r="F14" i="9"/>
  <c r="E14" i="9"/>
  <c r="D14" i="9"/>
  <c r="C14" i="9"/>
  <c r="B14" i="9"/>
  <c r="AA13" i="9"/>
  <c r="Z13" i="9"/>
  <c r="Y13" i="9"/>
  <c r="X13" i="9"/>
  <c r="W13" i="9"/>
  <c r="S13" i="9"/>
  <c r="Q13" i="9"/>
  <c r="M13" i="9"/>
  <c r="D13" i="9"/>
  <c r="C13" i="9"/>
  <c r="B13" i="9"/>
  <c r="AB12" i="9"/>
  <c r="AA12" i="9"/>
  <c r="Y12" i="9"/>
  <c r="X12" i="9"/>
  <c r="W12" i="9"/>
  <c r="U12" i="9"/>
  <c r="S12" i="9"/>
  <c r="O12" i="9"/>
  <c r="J12" i="9"/>
  <c r="H12" i="9"/>
  <c r="E12" i="9"/>
  <c r="B12" i="9"/>
  <c r="Z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X8" i="9"/>
  <c r="U8" i="9"/>
  <c r="T8" i="9"/>
  <c r="S8" i="9"/>
  <c r="R8" i="9"/>
  <c r="Q8" i="9"/>
  <c r="P8" i="9"/>
  <c r="O8" i="9"/>
  <c r="N8" i="9"/>
  <c r="M8" i="9"/>
  <c r="L8" i="9"/>
  <c r="K8" i="9"/>
  <c r="I8" i="9"/>
  <c r="G8" i="9"/>
  <c r="F8" i="9"/>
  <c r="E8" i="9"/>
  <c r="C8" i="9"/>
  <c r="B8" i="9"/>
  <c r="W8" i="9" s="1"/>
  <c r="AB7" i="9"/>
  <c r="AA7" i="9"/>
  <c r="W7" i="9"/>
  <c r="V7" i="9"/>
  <c r="U7" i="9"/>
  <c r="T7" i="9"/>
  <c r="S7" i="9"/>
  <c r="R7" i="9"/>
  <c r="Q7" i="9"/>
  <c r="P7" i="9"/>
  <c r="N7" i="9"/>
  <c r="M7" i="9"/>
  <c r="G7" i="9"/>
  <c r="F7" i="9"/>
  <c r="D7" i="9"/>
  <c r="C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O3" i="9"/>
  <c r="K3" i="9"/>
  <c r="G3" i="9"/>
  <c r="F3" i="9"/>
  <c r="C3" i="9"/>
  <c r="B3" i="9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O15" i="8"/>
  <c r="J15" i="8"/>
  <c r="I15" i="8"/>
  <c r="H15" i="8"/>
  <c r="G15" i="8"/>
  <c r="F15" i="8"/>
  <c r="E15" i="8"/>
  <c r="B15" i="8"/>
  <c r="Z14" i="8"/>
  <c r="Y14" i="8"/>
  <c r="W14" i="8"/>
  <c r="V14" i="8"/>
  <c r="T14" i="8"/>
  <c r="S14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B14" i="8"/>
  <c r="Q14" i="8" s="1"/>
  <c r="AB13" i="8"/>
  <c r="AA13" i="8"/>
  <c r="W13" i="8"/>
  <c r="V13" i="8"/>
  <c r="T13" i="8"/>
  <c r="S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B13" i="8"/>
  <c r="R13" i="8" s="1"/>
  <c r="B12" i="8"/>
  <c r="U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B8" i="8"/>
  <c r="B7" i="8"/>
  <c r="Z7" i="8" s="1"/>
  <c r="P6" i="8"/>
  <c r="O6" i="8"/>
  <c r="B6" i="8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Z3" i="8"/>
  <c r="W3" i="8"/>
  <c r="V3" i="8"/>
  <c r="S3" i="8"/>
  <c r="R3" i="8"/>
  <c r="Q3" i="8"/>
  <c r="P3" i="8"/>
  <c r="O3" i="8"/>
  <c r="N3" i="8"/>
  <c r="M3" i="8"/>
  <c r="K3" i="8"/>
  <c r="I3" i="8"/>
  <c r="G3" i="8"/>
  <c r="B3" i="8"/>
  <c r="C3" i="8" s="1"/>
  <c r="AA2" i="8"/>
  <c r="Z2" i="8"/>
  <c r="W2" i="8"/>
  <c r="V2" i="8"/>
  <c r="U2" i="8"/>
  <c r="T2" i="8"/>
  <c r="S2" i="8"/>
  <c r="R2" i="8"/>
  <c r="Q2" i="8"/>
  <c r="P2" i="8"/>
  <c r="N2" i="8"/>
  <c r="M2" i="8"/>
  <c r="L2" i="8"/>
  <c r="I2" i="8"/>
  <c r="H2" i="8"/>
  <c r="F2" i="8"/>
  <c r="D2" i="8"/>
  <c r="C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V17" i="7"/>
  <c r="U17" i="7"/>
  <c r="T17" i="7"/>
  <c r="S17" i="7"/>
  <c r="Q17" i="7"/>
  <c r="M17" i="7"/>
  <c r="K17" i="7"/>
  <c r="J17" i="7"/>
  <c r="H17" i="7"/>
  <c r="G17" i="7"/>
  <c r="F17" i="7"/>
  <c r="E17" i="7"/>
  <c r="D17" i="7"/>
  <c r="B17" i="7"/>
  <c r="Z17" i="7" s="1"/>
  <c r="N16" i="7"/>
  <c r="M16" i="7"/>
  <c r="L16" i="7"/>
  <c r="J16" i="7"/>
  <c r="H16" i="7"/>
  <c r="G16" i="7"/>
  <c r="B16" i="7"/>
  <c r="AA16" i="7" s="1"/>
  <c r="S15" i="7"/>
  <c r="R15" i="7"/>
  <c r="Q15" i="7"/>
  <c r="P15" i="7"/>
  <c r="O15" i="7"/>
  <c r="N15" i="7"/>
  <c r="M15" i="7"/>
  <c r="B15" i="7"/>
  <c r="J15" i="7" s="1"/>
  <c r="Y14" i="7"/>
  <c r="V14" i="7"/>
  <c r="U14" i="7"/>
  <c r="T14" i="7"/>
  <c r="S14" i="7"/>
  <c r="R14" i="7"/>
  <c r="Q14" i="7"/>
  <c r="O14" i="7"/>
  <c r="N14" i="7"/>
  <c r="M14" i="7"/>
  <c r="D14" i="7"/>
  <c r="B14" i="7"/>
  <c r="AA14" i="7" s="1"/>
  <c r="AB13" i="7"/>
  <c r="W13" i="7"/>
  <c r="V13" i="7"/>
  <c r="S13" i="7"/>
  <c r="R13" i="7"/>
  <c r="Q13" i="7"/>
  <c r="O13" i="7"/>
  <c r="N13" i="7"/>
  <c r="M13" i="7"/>
  <c r="K13" i="7"/>
  <c r="J13" i="7"/>
  <c r="I13" i="7"/>
  <c r="H13" i="7"/>
  <c r="F13" i="7"/>
  <c r="B13" i="7"/>
  <c r="AA13" i="7" s="1"/>
  <c r="H12" i="7"/>
  <c r="G12" i="7"/>
  <c r="F12" i="7"/>
  <c r="E12" i="7"/>
  <c r="C12" i="7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AA8" i="7"/>
  <c r="Z8" i="7"/>
  <c r="Y8" i="7"/>
  <c r="V8" i="7"/>
  <c r="B8" i="7"/>
  <c r="C8" i="7" s="1"/>
  <c r="AB7" i="7"/>
  <c r="AA7" i="7"/>
  <c r="Z7" i="7"/>
  <c r="Y7" i="7"/>
  <c r="V7" i="7"/>
  <c r="B7" i="7"/>
  <c r="F7" i="7" s="1"/>
  <c r="AB6" i="7"/>
  <c r="Z6" i="7"/>
  <c r="X6" i="7"/>
  <c r="W6" i="7"/>
  <c r="V6" i="7"/>
  <c r="U6" i="7"/>
  <c r="Q6" i="7"/>
  <c r="P6" i="7"/>
  <c r="N6" i="7"/>
  <c r="K6" i="7"/>
  <c r="I6" i="7"/>
  <c r="H6" i="7"/>
  <c r="F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B3" i="7"/>
  <c r="O3" i="7" s="1"/>
  <c r="Z2" i="7"/>
  <c r="S2" i="7"/>
  <c r="R2" i="7"/>
  <c r="P2" i="7"/>
  <c r="O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B17" i="6"/>
  <c r="AA17" i="6"/>
  <c r="Z17" i="6"/>
  <c r="X17" i="6"/>
  <c r="W17" i="6"/>
  <c r="V17" i="6"/>
  <c r="U17" i="6"/>
  <c r="T17" i="6"/>
  <c r="S17" i="6"/>
  <c r="Q17" i="6"/>
  <c r="P17" i="6"/>
  <c r="M17" i="6"/>
  <c r="L17" i="6"/>
  <c r="H17" i="6"/>
  <c r="G17" i="6"/>
  <c r="F17" i="6"/>
  <c r="E17" i="6"/>
  <c r="D17" i="6"/>
  <c r="C17" i="6"/>
  <c r="B17" i="6"/>
  <c r="E16" i="6"/>
  <c r="D16" i="6"/>
  <c r="C16" i="6"/>
  <c r="B16" i="6"/>
  <c r="AB15" i="6"/>
  <c r="AA15" i="6"/>
  <c r="Z15" i="6"/>
  <c r="W15" i="6"/>
  <c r="V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X15" i="6" s="1"/>
  <c r="AB14" i="6"/>
  <c r="AA14" i="6"/>
  <c r="X14" i="6"/>
  <c r="W14" i="6"/>
  <c r="T14" i="6"/>
  <c r="S14" i="6"/>
  <c r="R14" i="6"/>
  <c r="B14" i="6"/>
  <c r="Y13" i="6"/>
  <c r="T13" i="6"/>
  <c r="S13" i="6"/>
  <c r="R13" i="6"/>
  <c r="Q13" i="6"/>
  <c r="P13" i="6"/>
  <c r="O13" i="6"/>
  <c r="B13" i="6"/>
  <c r="N12" i="6"/>
  <c r="L12" i="6"/>
  <c r="K12" i="6"/>
  <c r="J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D8" i="6"/>
  <c r="B8" i="6"/>
  <c r="AB8" i="6" s="1"/>
  <c r="B7" i="6"/>
  <c r="J7" i="6" s="1"/>
  <c r="AA6" i="6"/>
  <c r="P6" i="6"/>
  <c r="O6" i="6"/>
  <c r="N6" i="6"/>
  <c r="M6" i="6"/>
  <c r="L6" i="6"/>
  <c r="K6" i="6"/>
  <c r="J6" i="6"/>
  <c r="B6" i="6"/>
  <c r="AB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B3" i="6"/>
  <c r="F3" i="6" s="1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B17" i="5"/>
  <c r="Y17" i="5" s="1"/>
  <c r="B16" i="5"/>
  <c r="AB15" i="5"/>
  <c r="W15" i="5"/>
  <c r="V15" i="5"/>
  <c r="U15" i="5"/>
  <c r="T15" i="5"/>
  <c r="S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B15" i="5"/>
  <c r="X15" i="5" s="1"/>
  <c r="B14" i="5"/>
  <c r="D14" i="5" s="1"/>
  <c r="Z13" i="5"/>
  <c r="Y13" i="5"/>
  <c r="X13" i="5"/>
  <c r="R13" i="5"/>
  <c r="M13" i="5"/>
  <c r="K13" i="5"/>
  <c r="J13" i="5"/>
  <c r="I13" i="5"/>
  <c r="H13" i="5"/>
  <c r="G13" i="5"/>
  <c r="F13" i="5"/>
  <c r="B13" i="5"/>
  <c r="AB13" i="5" s="1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Z6" i="5"/>
  <c r="X6" i="5"/>
  <c r="W6" i="5"/>
  <c r="R6" i="5"/>
  <c r="M6" i="5"/>
  <c r="K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F2" i="5"/>
  <c r="E2" i="5"/>
  <c r="D2" i="5"/>
  <c r="C2" i="5"/>
  <c r="B2" i="5"/>
  <c r="B2" i="1"/>
  <c r="X12" i="6" l="1"/>
  <c r="P12" i="6"/>
  <c r="Y6" i="8"/>
  <c r="F6" i="8"/>
  <c r="Z15" i="8"/>
  <c r="AA15" i="8"/>
  <c r="P15" i="8"/>
  <c r="X14" i="9"/>
  <c r="M14" i="9"/>
  <c r="J14" i="9"/>
  <c r="AA14" i="9"/>
  <c r="K15" i="10"/>
  <c r="V8" i="12"/>
  <c r="J15" i="12"/>
  <c r="Z7" i="13"/>
  <c r="N2" i="15"/>
  <c r="Z2" i="6"/>
  <c r="D12" i="6"/>
  <c r="W7" i="7"/>
  <c r="W8" i="7"/>
  <c r="T12" i="7"/>
  <c r="P12" i="7"/>
  <c r="E6" i="8"/>
  <c r="M3" i="12"/>
  <c r="J3" i="12"/>
  <c r="K15" i="12"/>
  <c r="AA7" i="13"/>
  <c r="N3" i="14"/>
  <c r="J3" i="14"/>
  <c r="I3" i="14"/>
  <c r="E3" i="14"/>
  <c r="C3" i="14"/>
  <c r="Z3" i="14"/>
  <c r="O2" i="15"/>
  <c r="D17" i="5"/>
  <c r="AB2" i="6"/>
  <c r="Q2" i="11"/>
  <c r="U14" i="6"/>
  <c r="Y14" i="6"/>
  <c r="G3" i="7"/>
  <c r="C7" i="7"/>
  <c r="J12" i="7"/>
  <c r="U15" i="7"/>
  <c r="K7" i="8"/>
  <c r="H12" i="8"/>
  <c r="K15" i="8"/>
  <c r="I14" i="9"/>
  <c r="F13" i="10"/>
  <c r="U3" i="11"/>
  <c r="Q3" i="11"/>
  <c r="E6" i="11"/>
  <c r="N3" i="12"/>
  <c r="S15" i="12"/>
  <c r="J8" i="13"/>
  <c r="G13" i="13"/>
  <c r="M3" i="14"/>
  <c r="AB13" i="14"/>
  <c r="S13" i="14"/>
  <c r="R13" i="14"/>
  <c r="K13" i="14"/>
  <c r="E13" i="14"/>
  <c r="V2" i="15"/>
  <c r="L7" i="15"/>
  <c r="M14" i="15"/>
  <c r="AB12" i="16"/>
  <c r="Y12" i="16"/>
  <c r="X12" i="16"/>
  <c r="W12" i="16"/>
  <c r="K12" i="16"/>
  <c r="I12" i="16"/>
  <c r="C12" i="16"/>
  <c r="Z2" i="17"/>
  <c r="W2" i="17"/>
  <c r="L2" i="17"/>
  <c r="I2" i="17"/>
  <c r="G8" i="18"/>
  <c r="M15" i="19"/>
  <c r="M15" i="9"/>
  <c r="N3" i="5"/>
  <c r="I7" i="5"/>
  <c r="O17" i="5"/>
  <c r="V15" i="7"/>
  <c r="Q13" i="11"/>
  <c r="K13" i="11"/>
  <c r="P3" i="12"/>
  <c r="Z8" i="12"/>
  <c r="W8" i="12"/>
  <c r="T15" i="12"/>
  <c r="H13" i="13"/>
  <c r="P3" i="14"/>
  <c r="U6" i="14"/>
  <c r="W6" i="14"/>
  <c r="T6" i="14"/>
  <c r="Q6" i="14"/>
  <c r="O6" i="14"/>
  <c r="L6" i="14"/>
  <c r="G13" i="14"/>
  <c r="Z2" i="15"/>
  <c r="N7" i="15"/>
  <c r="AB14" i="15"/>
  <c r="X12" i="17"/>
  <c r="O12" i="17"/>
  <c r="M12" i="17"/>
  <c r="J12" i="17"/>
  <c r="I12" i="17"/>
  <c r="H12" i="17"/>
  <c r="G12" i="17"/>
  <c r="F12" i="17"/>
  <c r="E12" i="17"/>
  <c r="D12" i="17"/>
  <c r="C12" i="17"/>
  <c r="AB12" i="17"/>
  <c r="Z12" i="17"/>
  <c r="Y12" i="17"/>
  <c r="W12" i="17"/>
  <c r="Q12" i="17"/>
  <c r="J8" i="18"/>
  <c r="J6" i="10"/>
  <c r="C6" i="10"/>
  <c r="AA8" i="13"/>
  <c r="AB8" i="13"/>
  <c r="U8" i="13"/>
  <c r="T8" i="13"/>
  <c r="K8" i="13"/>
  <c r="I8" i="13"/>
  <c r="E8" i="13"/>
  <c r="R12" i="6"/>
  <c r="Q3" i="5"/>
  <c r="N7" i="5"/>
  <c r="P17" i="5"/>
  <c r="C3" i="6"/>
  <c r="C14" i="6"/>
  <c r="N12" i="8"/>
  <c r="G6" i="11"/>
  <c r="U7" i="5"/>
  <c r="Q17" i="5"/>
  <c r="K3" i="6"/>
  <c r="Y15" i="7"/>
  <c r="M15" i="8"/>
  <c r="L14" i="9"/>
  <c r="AA6" i="10"/>
  <c r="M13" i="10"/>
  <c r="U15" i="10"/>
  <c r="D3" i="11"/>
  <c r="H6" i="11"/>
  <c r="J13" i="11"/>
  <c r="T3" i="12"/>
  <c r="C8" i="12"/>
  <c r="L14" i="12"/>
  <c r="V15" i="12"/>
  <c r="R8" i="13"/>
  <c r="K13" i="13"/>
  <c r="S3" i="14"/>
  <c r="E6" i="14"/>
  <c r="N13" i="14"/>
  <c r="O7" i="15"/>
  <c r="G2" i="17"/>
  <c r="P12" i="17"/>
  <c r="P8" i="18"/>
  <c r="Y7" i="17"/>
  <c r="X7" i="17"/>
  <c r="W7" i="17"/>
  <c r="V7" i="17"/>
  <c r="U7" i="17"/>
  <c r="T7" i="17"/>
  <c r="S7" i="17"/>
  <c r="R7" i="17"/>
  <c r="P7" i="17"/>
  <c r="O7" i="17"/>
  <c r="J7" i="17"/>
  <c r="H7" i="17"/>
  <c r="F7" i="17"/>
  <c r="H6" i="10"/>
  <c r="I2" i="11"/>
  <c r="D8" i="13"/>
  <c r="D12" i="8"/>
  <c r="Y15" i="9"/>
  <c r="L6" i="10"/>
  <c r="J7" i="15"/>
  <c r="X8" i="7"/>
  <c r="N8" i="7"/>
  <c r="K8" i="7"/>
  <c r="S12" i="6"/>
  <c r="H3" i="7"/>
  <c r="D7" i="7"/>
  <c r="D8" i="7"/>
  <c r="K12" i="7"/>
  <c r="M7" i="8"/>
  <c r="L15" i="8"/>
  <c r="Y6" i="10"/>
  <c r="H13" i="10"/>
  <c r="S3" i="5"/>
  <c r="T12" i="6"/>
  <c r="D14" i="6"/>
  <c r="J3" i="7"/>
  <c r="E7" i="7"/>
  <c r="E8" i="7"/>
  <c r="L12" i="7"/>
  <c r="O7" i="8"/>
  <c r="O12" i="8"/>
  <c r="T3" i="5"/>
  <c r="V7" i="5"/>
  <c r="R17" i="5"/>
  <c r="L3" i="6"/>
  <c r="C8" i="6"/>
  <c r="U12" i="6"/>
  <c r="E14" i="6"/>
  <c r="K3" i="7"/>
  <c r="F8" i="7"/>
  <c r="M12" i="7"/>
  <c r="Z15" i="7"/>
  <c r="P7" i="8"/>
  <c r="Q12" i="8"/>
  <c r="N15" i="8"/>
  <c r="N14" i="9"/>
  <c r="W2" i="10"/>
  <c r="Y2" i="10"/>
  <c r="P13" i="10"/>
  <c r="V15" i="10"/>
  <c r="E3" i="11"/>
  <c r="L13" i="11"/>
  <c r="U3" i="12"/>
  <c r="D8" i="12"/>
  <c r="Q14" i="12"/>
  <c r="W15" i="12"/>
  <c r="V8" i="13"/>
  <c r="M13" i="13"/>
  <c r="T3" i="14"/>
  <c r="F6" i="14"/>
  <c r="Q13" i="14"/>
  <c r="P3" i="15"/>
  <c r="L3" i="15"/>
  <c r="G3" i="15"/>
  <c r="F3" i="15"/>
  <c r="D3" i="15"/>
  <c r="C3" i="15"/>
  <c r="Z3" i="15"/>
  <c r="P7" i="15"/>
  <c r="AB2" i="16"/>
  <c r="X2" i="16"/>
  <c r="J2" i="17"/>
  <c r="R12" i="17"/>
  <c r="AB8" i="18"/>
  <c r="E6" i="10"/>
  <c r="E7" i="17"/>
  <c r="C7" i="19"/>
  <c r="AA6" i="11"/>
  <c r="U6" i="11"/>
  <c r="Q6" i="11"/>
  <c r="G7" i="7"/>
  <c r="Q7" i="7"/>
  <c r="N7" i="7"/>
  <c r="F8" i="18"/>
  <c r="U3" i="5"/>
  <c r="S17" i="5"/>
  <c r="F14" i="6"/>
  <c r="M3" i="7"/>
  <c r="H8" i="7"/>
  <c r="S7" i="8"/>
  <c r="S12" i="8"/>
  <c r="U15" i="8"/>
  <c r="P14" i="9"/>
  <c r="Z13" i="10"/>
  <c r="G8" i="12"/>
  <c r="Z6" i="16"/>
  <c r="W6" i="16"/>
  <c r="T6" i="16"/>
  <c r="S6" i="16"/>
  <c r="Q6" i="16"/>
  <c r="O6" i="16"/>
  <c r="N6" i="16"/>
  <c r="M6" i="16"/>
  <c r="K6" i="16"/>
  <c r="H6" i="16"/>
  <c r="C14" i="16"/>
  <c r="D7" i="17"/>
  <c r="J17" i="5"/>
  <c r="C12" i="8"/>
  <c r="D8" i="18"/>
  <c r="L17" i="5"/>
  <c r="O6" i="10"/>
  <c r="D13" i="10"/>
  <c r="K7" i="17"/>
  <c r="G8" i="7"/>
  <c r="O12" i="7"/>
  <c r="Y15" i="10"/>
  <c r="I3" i="11"/>
  <c r="K6" i="11"/>
  <c r="Y14" i="14"/>
  <c r="S14" i="14"/>
  <c r="R7" i="15"/>
  <c r="Z7" i="5"/>
  <c r="V14" i="5"/>
  <c r="R15" i="5"/>
  <c r="U17" i="5"/>
  <c r="P3" i="6"/>
  <c r="G8" i="6"/>
  <c r="Y12" i="6"/>
  <c r="I14" i="6"/>
  <c r="N17" i="6"/>
  <c r="R17" i="6"/>
  <c r="O17" i="6"/>
  <c r="N3" i="7"/>
  <c r="AA6" i="7"/>
  <c r="R6" i="7"/>
  <c r="O6" i="7"/>
  <c r="J7" i="7"/>
  <c r="I8" i="7"/>
  <c r="R12" i="7"/>
  <c r="D15" i="7"/>
  <c r="AA3" i="8"/>
  <c r="T7" i="8"/>
  <c r="T12" i="8"/>
  <c r="Y15" i="8"/>
  <c r="Q14" i="9"/>
  <c r="E2" i="10"/>
  <c r="C8" i="10"/>
  <c r="AA13" i="10"/>
  <c r="Z15" i="10"/>
  <c r="J3" i="11"/>
  <c r="L6" i="11"/>
  <c r="U13" i="11"/>
  <c r="AA3" i="12"/>
  <c r="F6" i="12"/>
  <c r="H8" i="12"/>
  <c r="X14" i="12"/>
  <c r="AA15" i="12"/>
  <c r="E7" i="13"/>
  <c r="P13" i="13"/>
  <c r="W3" i="14"/>
  <c r="J6" i="14"/>
  <c r="R14" i="14"/>
  <c r="J3" i="15"/>
  <c r="S7" i="15"/>
  <c r="P2" i="16"/>
  <c r="E6" i="16"/>
  <c r="F14" i="16"/>
  <c r="U12" i="17"/>
  <c r="G13" i="18"/>
  <c r="M3" i="6"/>
  <c r="L3" i="7"/>
  <c r="J6" i="11"/>
  <c r="Q7" i="15"/>
  <c r="R13" i="11"/>
  <c r="Z3" i="12"/>
  <c r="Z15" i="12"/>
  <c r="C7" i="13"/>
  <c r="X8" i="13"/>
  <c r="O13" i="13"/>
  <c r="AA7" i="5"/>
  <c r="W14" i="5"/>
  <c r="V17" i="5"/>
  <c r="Q3" i="6"/>
  <c r="H8" i="6"/>
  <c r="AB12" i="6"/>
  <c r="J14" i="6"/>
  <c r="K7" i="7"/>
  <c r="J8" i="7"/>
  <c r="S12" i="7"/>
  <c r="E15" i="7"/>
  <c r="AB3" i="8"/>
  <c r="U7" i="8"/>
  <c r="Y7" i="9"/>
  <c r="X7" i="9"/>
  <c r="R14" i="9"/>
  <c r="F2" i="10"/>
  <c r="G8" i="10"/>
  <c r="X14" i="10"/>
  <c r="M14" i="10"/>
  <c r="J14" i="10"/>
  <c r="AA14" i="10"/>
  <c r="AA15" i="10"/>
  <c r="K3" i="11"/>
  <c r="O6" i="11"/>
  <c r="V13" i="11"/>
  <c r="I8" i="12"/>
  <c r="Y14" i="12"/>
  <c r="AB15" i="12"/>
  <c r="Q13" i="13"/>
  <c r="X3" i="14"/>
  <c r="K6" i="14"/>
  <c r="AB14" i="14"/>
  <c r="K3" i="15"/>
  <c r="T7" i="15"/>
  <c r="Q2" i="16"/>
  <c r="F6" i="16"/>
  <c r="G14" i="16"/>
  <c r="V12" i="17"/>
  <c r="H13" i="18"/>
  <c r="AB12" i="8"/>
  <c r="Y12" i="8"/>
  <c r="AA7" i="19"/>
  <c r="U7" i="19"/>
  <c r="M7" i="19"/>
  <c r="L7" i="19"/>
  <c r="H7" i="19"/>
  <c r="G7" i="19"/>
  <c r="X3" i="7"/>
  <c r="Z3" i="7"/>
  <c r="G7" i="17"/>
  <c r="H7" i="7"/>
  <c r="N12" i="7"/>
  <c r="AA15" i="7"/>
  <c r="Y7" i="13"/>
  <c r="S7" i="13"/>
  <c r="L7" i="13"/>
  <c r="I7" i="13"/>
  <c r="F7" i="13"/>
  <c r="D7" i="13"/>
  <c r="N13" i="13"/>
  <c r="V3" i="5"/>
  <c r="Y7" i="5"/>
  <c r="T17" i="5"/>
  <c r="O3" i="6"/>
  <c r="E8" i="6"/>
  <c r="AB13" i="6"/>
  <c r="V13" i="6"/>
  <c r="K14" i="6"/>
  <c r="Y2" i="7"/>
  <c r="Q2" i="7"/>
  <c r="N2" i="7"/>
  <c r="P3" i="7"/>
  <c r="L7" i="7"/>
  <c r="L8" i="7"/>
  <c r="V12" i="7"/>
  <c r="Z14" i="7"/>
  <c r="AB14" i="7"/>
  <c r="X14" i="7"/>
  <c r="F15" i="7"/>
  <c r="W7" i="8"/>
  <c r="V12" i="8"/>
  <c r="S14" i="9"/>
  <c r="G2" i="10"/>
  <c r="I8" i="10"/>
  <c r="AB15" i="10"/>
  <c r="L3" i="11"/>
  <c r="P6" i="11"/>
  <c r="X13" i="11"/>
  <c r="Y7" i="12"/>
  <c r="V7" i="12"/>
  <c r="J8" i="12"/>
  <c r="AB14" i="12"/>
  <c r="H7" i="13"/>
  <c r="S13" i="13"/>
  <c r="Y3" i="14"/>
  <c r="M6" i="14"/>
  <c r="X15" i="14"/>
  <c r="V15" i="14"/>
  <c r="R15" i="14"/>
  <c r="Q15" i="14"/>
  <c r="O15" i="14"/>
  <c r="N15" i="14"/>
  <c r="L15" i="14"/>
  <c r="I15" i="14"/>
  <c r="M3" i="15"/>
  <c r="U7" i="15"/>
  <c r="T2" i="16"/>
  <c r="G6" i="16"/>
  <c r="J14" i="16"/>
  <c r="AA13" i="17"/>
  <c r="X13" i="17"/>
  <c r="W13" i="17"/>
  <c r="U13" i="17"/>
  <c r="S13" i="17"/>
  <c r="R13" i="17"/>
  <c r="Q13" i="17"/>
  <c r="N13" i="17"/>
  <c r="D13" i="17"/>
  <c r="C13" i="17"/>
  <c r="AB6" i="18"/>
  <c r="AA6" i="18"/>
  <c r="X6" i="18"/>
  <c r="Q6" i="18"/>
  <c r="P6" i="18"/>
  <c r="O6" i="18"/>
  <c r="K6" i="18"/>
  <c r="P13" i="18"/>
  <c r="F8" i="13"/>
  <c r="Q7" i="8"/>
  <c r="I7" i="7"/>
  <c r="Y13" i="11"/>
  <c r="M7" i="13"/>
  <c r="X2" i="15"/>
  <c r="M2" i="15"/>
  <c r="I2" i="15"/>
  <c r="H2" i="15"/>
  <c r="F2" i="15"/>
  <c r="E2" i="15"/>
  <c r="AB2" i="15"/>
  <c r="C2" i="15"/>
  <c r="Y2" i="15"/>
  <c r="I6" i="16"/>
  <c r="Y14" i="16"/>
  <c r="X7" i="15"/>
  <c r="M7" i="15"/>
  <c r="I7" i="15"/>
  <c r="H7" i="15"/>
  <c r="F7" i="15"/>
  <c r="AB7" i="15"/>
  <c r="E7" i="15"/>
  <c r="Z7" i="15"/>
  <c r="C7" i="15"/>
  <c r="V7" i="15"/>
  <c r="D7" i="15"/>
  <c r="W13" i="13"/>
  <c r="F13" i="13"/>
  <c r="X13" i="13"/>
  <c r="U13" i="13"/>
  <c r="R13" i="13"/>
  <c r="W17" i="5"/>
  <c r="I8" i="6"/>
  <c r="U3" i="6"/>
  <c r="G15" i="7"/>
  <c r="K8" i="10"/>
  <c r="R6" i="11"/>
  <c r="H13" i="6"/>
  <c r="H2" i="7"/>
  <c r="F14" i="7"/>
  <c r="P3" i="11"/>
  <c r="T6" i="11"/>
  <c r="Z13" i="11"/>
  <c r="P8" i="12"/>
  <c r="C15" i="12"/>
  <c r="N7" i="13"/>
  <c r="V13" i="13"/>
  <c r="P6" i="14"/>
  <c r="D2" i="15"/>
  <c r="Y7" i="15"/>
  <c r="J6" i="16"/>
  <c r="M15" i="17"/>
  <c r="N15" i="17"/>
  <c r="AB17" i="17"/>
  <c r="AA17" i="17"/>
  <c r="Z17" i="17"/>
  <c r="Y17" i="17"/>
  <c r="X17" i="17"/>
  <c r="U17" i="17"/>
  <c r="R17" i="17"/>
  <c r="Q17" i="17"/>
  <c r="O17" i="17"/>
  <c r="G2" i="11"/>
  <c r="L3" i="5"/>
  <c r="K17" i="5"/>
  <c r="G7" i="8"/>
  <c r="J7" i="8"/>
  <c r="E12" i="8"/>
  <c r="G8" i="13"/>
  <c r="R12" i="8"/>
  <c r="W8" i="13"/>
  <c r="O14" i="5"/>
  <c r="H14" i="6"/>
  <c r="S3" i="6"/>
  <c r="G13" i="6"/>
  <c r="S3" i="7"/>
  <c r="M7" i="7"/>
  <c r="M8" i="7"/>
  <c r="W12" i="7"/>
  <c r="X15" i="10"/>
  <c r="I15" i="10"/>
  <c r="F15" i="10"/>
  <c r="M3" i="11"/>
  <c r="M8" i="12"/>
  <c r="AA14" i="5"/>
  <c r="W3" i="6"/>
  <c r="I13" i="6"/>
  <c r="N14" i="6"/>
  <c r="I2" i="7"/>
  <c r="U3" i="7"/>
  <c r="H14" i="7"/>
  <c r="R7" i="13"/>
  <c r="AB12" i="13"/>
  <c r="V12" i="13"/>
  <c r="U12" i="13"/>
  <c r="R12" i="13"/>
  <c r="M12" i="13"/>
  <c r="I12" i="13"/>
  <c r="Y13" i="13"/>
  <c r="R6" i="14"/>
  <c r="G2" i="15"/>
  <c r="AA7" i="15"/>
  <c r="L6" i="16"/>
  <c r="C15" i="17"/>
  <c r="E17" i="17"/>
  <c r="AB12" i="10"/>
  <c r="Z12" i="10"/>
  <c r="AA2" i="6"/>
  <c r="X15" i="19"/>
  <c r="AB15" i="19"/>
  <c r="AA15" i="19"/>
  <c r="Y15" i="19"/>
  <c r="W15" i="19"/>
  <c r="Q15" i="19"/>
  <c r="P15" i="19"/>
  <c r="O15" i="19"/>
  <c r="L15" i="19"/>
  <c r="J15" i="19"/>
  <c r="G15" i="19"/>
  <c r="F15" i="19"/>
  <c r="E15" i="19"/>
  <c r="M3" i="5"/>
  <c r="O12" i="6"/>
  <c r="C6" i="11"/>
  <c r="V12" i="6"/>
  <c r="W12" i="6"/>
  <c r="AB15" i="7"/>
  <c r="X17" i="5"/>
  <c r="J8" i="6"/>
  <c r="L14" i="6"/>
  <c r="V3" i="6"/>
  <c r="U8" i="6"/>
  <c r="M14" i="6"/>
  <c r="T3" i="7"/>
  <c r="O7" i="7"/>
  <c r="P8" i="7"/>
  <c r="X12" i="7"/>
  <c r="H15" i="7"/>
  <c r="U14" i="9"/>
  <c r="R8" i="8"/>
  <c r="L8" i="8"/>
  <c r="Z12" i="8"/>
  <c r="D15" i="10"/>
  <c r="R3" i="11"/>
  <c r="X6" i="11"/>
  <c r="AA13" i="11"/>
  <c r="K13" i="6"/>
  <c r="O14" i="6"/>
  <c r="K2" i="7"/>
  <c r="V3" i="7"/>
  <c r="R7" i="7"/>
  <c r="R8" i="7"/>
  <c r="AB12" i="7"/>
  <c r="I14" i="7"/>
  <c r="H8" i="8"/>
  <c r="AA12" i="8"/>
  <c r="I7" i="9"/>
  <c r="W14" i="9"/>
  <c r="L2" i="10"/>
  <c r="AB8" i="10"/>
  <c r="G14" i="10"/>
  <c r="E15" i="10"/>
  <c r="S3" i="11"/>
  <c r="Q7" i="11"/>
  <c r="W7" i="11"/>
  <c r="T7" i="11"/>
  <c r="AB7" i="11"/>
  <c r="K12" i="11"/>
  <c r="AB13" i="11"/>
  <c r="G7" i="12"/>
  <c r="R8" i="12"/>
  <c r="U7" i="13"/>
  <c r="D12" i="13"/>
  <c r="Z13" i="13"/>
  <c r="S6" i="14"/>
  <c r="F15" i="14"/>
  <c r="J2" i="15"/>
  <c r="U3" i="15"/>
  <c r="AA2" i="16"/>
  <c r="V6" i="16"/>
  <c r="F15" i="17"/>
  <c r="L17" i="17"/>
  <c r="W6" i="18"/>
  <c r="AA15" i="9"/>
  <c r="Z15" i="9"/>
  <c r="O14" i="15"/>
  <c r="N14" i="15"/>
  <c r="E14" i="15"/>
  <c r="F7" i="19"/>
  <c r="F3" i="7"/>
  <c r="F12" i="14"/>
  <c r="X15" i="7"/>
  <c r="W15" i="7"/>
  <c r="T15" i="7"/>
  <c r="C15" i="7"/>
  <c r="AB7" i="5"/>
  <c r="Y14" i="5"/>
  <c r="Z14" i="5"/>
  <c r="Y7" i="8"/>
  <c r="W12" i="8"/>
  <c r="X15" i="12"/>
  <c r="R15" i="12"/>
  <c r="N15" i="12"/>
  <c r="H15" i="12"/>
  <c r="E15" i="12"/>
  <c r="J3" i="8"/>
  <c r="L3" i="8"/>
  <c r="H3" i="8"/>
  <c r="K2" i="10"/>
  <c r="Z8" i="10"/>
  <c r="Y15" i="5"/>
  <c r="X3" i="6"/>
  <c r="I6" i="5"/>
  <c r="C15" i="5"/>
  <c r="P14" i="6"/>
  <c r="Z13" i="7"/>
  <c r="X13" i="7"/>
  <c r="T13" i="7"/>
  <c r="J14" i="7"/>
  <c r="K15" i="7"/>
  <c r="X13" i="8"/>
  <c r="U13" i="8"/>
  <c r="X14" i="8"/>
  <c r="U14" i="8"/>
  <c r="R14" i="8"/>
  <c r="AA14" i="8"/>
  <c r="J7" i="9"/>
  <c r="C12" i="9"/>
  <c r="Y14" i="9"/>
  <c r="M2" i="10"/>
  <c r="H14" i="10"/>
  <c r="G15" i="10"/>
  <c r="Y3" i="11"/>
  <c r="C7" i="11"/>
  <c r="AB8" i="11"/>
  <c r="X8" i="11"/>
  <c r="L12" i="11"/>
  <c r="S14" i="11"/>
  <c r="P14" i="11"/>
  <c r="M14" i="11"/>
  <c r="R15" i="11"/>
  <c r="I7" i="12"/>
  <c r="S8" i="12"/>
  <c r="G15" i="12"/>
  <c r="W7" i="13"/>
  <c r="H12" i="13"/>
  <c r="X6" i="14"/>
  <c r="G15" i="14"/>
  <c r="K2" i="15"/>
  <c r="W3" i="15"/>
  <c r="H15" i="17"/>
  <c r="M17" i="17"/>
  <c r="X17" i="18"/>
  <c r="V17" i="18"/>
  <c r="U17" i="18"/>
  <c r="T17" i="18"/>
  <c r="S17" i="18"/>
  <c r="R17" i="18"/>
  <c r="Q17" i="18"/>
  <c r="P17" i="18"/>
  <c r="O17" i="18"/>
  <c r="N17" i="18"/>
  <c r="M17" i="18"/>
  <c r="J17" i="18"/>
  <c r="I17" i="18"/>
  <c r="G17" i="18"/>
  <c r="E17" i="18"/>
  <c r="Y17" i="18"/>
  <c r="W17" i="18"/>
  <c r="T2" i="6"/>
  <c r="AA8" i="18"/>
  <c r="Y8" i="18"/>
  <c r="X8" i="18"/>
  <c r="W8" i="18"/>
  <c r="V8" i="18"/>
  <c r="U8" i="18"/>
  <c r="T8" i="18"/>
  <c r="S8" i="18"/>
  <c r="R8" i="18"/>
  <c r="Q8" i="18"/>
  <c r="O8" i="18"/>
  <c r="N8" i="18"/>
  <c r="M8" i="18"/>
  <c r="K8" i="18"/>
  <c r="C8" i="18"/>
  <c r="AA12" i="10"/>
  <c r="G7" i="15"/>
  <c r="K7" i="15"/>
  <c r="X7" i="5"/>
  <c r="T14" i="9"/>
  <c r="X12" i="8"/>
  <c r="N8" i="10"/>
  <c r="G12" i="5"/>
  <c r="AB14" i="5"/>
  <c r="P7" i="7"/>
  <c r="Q8" i="7"/>
  <c r="Y12" i="7"/>
  <c r="I15" i="7"/>
  <c r="V14" i="9"/>
  <c r="Q8" i="12"/>
  <c r="D15" i="12"/>
  <c r="E6" i="5"/>
  <c r="Z15" i="5"/>
  <c r="Y3" i="6"/>
  <c r="E6" i="6"/>
  <c r="M13" i="6"/>
  <c r="J17" i="6"/>
  <c r="L2" i="7"/>
  <c r="AB3" i="7"/>
  <c r="S7" i="7"/>
  <c r="T8" i="7"/>
  <c r="AB17" i="7"/>
  <c r="L17" i="7"/>
  <c r="I17" i="7"/>
  <c r="D3" i="8"/>
  <c r="M8" i="8"/>
  <c r="J6" i="5"/>
  <c r="D13" i="5"/>
  <c r="D15" i="5"/>
  <c r="AA15" i="5"/>
  <c r="AA3" i="6"/>
  <c r="I6" i="6"/>
  <c r="N13" i="6"/>
  <c r="Q14" i="6"/>
  <c r="K17" i="6"/>
  <c r="M2" i="7"/>
  <c r="S6" i="7"/>
  <c r="U7" i="7"/>
  <c r="U8" i="7"/>
  <c r="E13" i="7"/>
  <c r="L14" i="7"/>
  <c r="L15" i="7"/>
  <c r="C17" i="7"/>
  <c r="O2" i="8"/>
  <c r="K2" i="8"/>
  <c r="G2" i="8"/>
  <c r="E3" i="8"/>
  <c r="Q8" i="8"/>
  <c r="C13" i="8"/>
  <c r="C14" i="8"/>
  <c r="AB14" i="8"/>
  <c r="L7" i="9"/>
  <c r="D12" i="9"/>
  <c r="Z14" i="9"/>
  <c r="N2" i="10"/>
  <c r="I14" i="10"/>
  <c r="H15" i="10"/>
  <c r="D7" i="11"/>
  <c r="C8" i="11"/>
  <c r="M12" i="11"/>
  <c r="C14" i="11"/>
  <c r="J7" i="12"/>
  <c r="U8" i="12"/>
  <c r="I15" i="12"/>
  <c r="X7" i="13"/>
  <c r="J12" i="13"/>
  <c r="Z6" i="14"/>
  <c r="H15" i="14"/>
  <c r="L2" i="15"/>
  <c r="X3" i="15"/>
  <c r="I15" i="17"/>
  <c r="W17" i="17"/>
  <c r="C17" i="18"/>
  <c r="F2" i="18"/>
  <c r="K3" i="18"/>
  <c r="J15" i="18"/>
  <c r="M2" i="19"/>
  <c r="M3" i="19"/>
  <c r="O6" i="19"/>
  <c r="N8" i="19"/>
  <c r="E12" i="19"/>
  <c r="L13" i="19"/>
  <c r="U14" i="19"/>
  <c r="U15" i="6"/>
  <c r="P2" i="13"/>
  <c r="W3" i="13"/>
  <c r="AA6" i="13"/>
  <c r="T14" i="13"/>
  <c r="S15" i="13"/>
  <c r="AA2" i="14"/>
  <c r="L7" i="14"/>
  <c r="X8" i="15"/>
  <c r="AB13" i="15"/>
  <c r="L7" i="16"/>
  <c r="N8" i="17"/>
  <c r="N2" i="18"/>
  <c r="S3" i="18"/>
  <c r="X15" i="18"/>
  <c r="U2" i="19"/>
  <c r="T3" i="19"/>
  <c r="T8" i="19"/>
  <c r="L12" i="19"/>
  <c r="V13" i="19"/>
  <c r="Y15" i="18"/>
  <c r="V2" i="19"/>
  <c r="U3" i="19"/>
  <c r="V8" i="19"/>
  <c r="P12" i="19"/>
  <c r="W13" i="19"/>
  <c r="P8" i="17"/>
  <c r="P2" i="18"/>
  <c r="H14" i="18"/>
  <c r="Y15" i="6"/>
  <c r="G17" i="9"/>
  <c r="U2" i="13"/>
  <c r="Y14" i="13"/>
  <c r="W15" i="13"/>
  <c r="O7" i="14"/>
  <c r="AA8" i="15"/>
  <c r="G12" i="15"/>
  <c r="E13" i="15"/>
  <c r="P7" i="16"/>
  <c r="Q8" i="17"/>
  <c r="R2" i="18"/>
  <c r="Y3" i="18"/>
  <c r="L14" i="18"/>
  <c r="AA15" i="18"/>
  <c r="X2" i="19"/>
  <c r="W3" i="19"/>
  <c r="Y8" i="19"/>
  <c r="R12" i="19"/>
  <c r="Z13" i="19"/>
  <c r="C17" i="19"/>
  <c r="Z15" i="13"/>
  <c r="S8" i="17"/>
  <c r="U2" i="18"/>
  <c r="R14" i="18"/>
  <c r="Z3" i="19"/>
  <c r="F17" i="19"/>
  <c r="T8" i="17"/>
  <c r="V2" i="18"/>
  <c r="U14" i="18"/>
  <c r="AA3" i="19"/>
  <c r="AB8" i="19"/>
  <c r="V12" i="19"/>
  <c r="F14" i="19"/>
  <c r="G17" i="19"/>
  <c r="U7" i="16"/>
  <c r="C17" i="16"/>
  <c r="U8" i="17"/>
  <c r="X2" i="18"/>
  <c r="V14" i="18"/>
  <c r="C3" i="19"/>
  <c r="AB3" i="19"/>
  <c r="C8" i="19"/>
  <c r="Y12" i="19"/>
  <c r="G14" i="19"/>
  <c r="M17" i="19"/>
  <c r="E15" i="13"/>
  <c r="W7" i="14"/>
  <c r="D8" i="15"/>
  <c r="L17" i="15"/>
  <c r="V7" i="16"/>
  <c r="D17" i="16"/>
  <c r="V8" i="17"/>
  <c r="Y2" i="18"/>
  <c r="X14" i="18"/>
  <c r="D3" i="19"/>
  <c r="D8" i="19"/>
  <c r="AA12" i="19"/>
  <c r="H14" i="19"/>
  <c r="O17" i="19"/>
  <c r="E14" i="13"/>
  <c r="F15" i="13"/>
  <c r="E2" i="14"/>
  <c r="X7" i="14"/>
  <c r="E8" i="15"/>
  <c r="C15" i="15"/>
  <c r="W17" i="15"/>
  <c r="G17" i="16"/>
  <c r="W8" i="17"/>
  <c r="Z2" i="18"/>
  <c r="Y14" i="18"/>
  <c r="E3" i="19"/>
  <c r="E8" i="19"/>
  <c r="AB12" i="19"/>
  <c r="J14" i="19"/>
  <c r="Q17" i="19"/>
  <c r="X17" i="15"/>
  <c r="Y8" i="17"/>
  <c r="AA14" i="18"/>
  <c r="F3" i="19"/>
  <c r="K14" i="19"/>
  <c r="R17" i="19"/>
  <c r="J17" i="16"/>
  <c r="AA8" i="17"/>
  <c r="D3" i="18"/>
  <c r="G7" i="18"/>
  <c r="G3" i="19"/>
  <c r="E6" i="19"/>
  <c r="G8" i="19"/>
  <c r="C13" i="19"/>
  <c r="L14" i="19"/>
  <c r="V17" i="19"/>
  <c r="D13" i="16"/>
  <c r="R17" i="16"/>
  <c r="E3" i="18"/>
  <c r="H3" i="19"/>
  <c r="G6" i="19"/>
  <c r="H8" i="19"/>
  <c r="D13" i="19"/>
  <c r="O14" i="19"/>
  <c r="Y17" i="19"/>
  <c r="K14" i="13"/>
  <c r="J15" i="13"/>
  <c r="M2" i="14"/>
  <c r="Q12" i="15"/>
  <c r="H3" i="18"/>
  <c r="C2" i="19"/>
  <c r="I3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<sst xmlns="http://schemas.openxmlformats.org/spreadsheetml/2006/main" count="3113" uniqueCount="587">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</sst>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108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MO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1.8181813673954876E-2</v>
      </c>
      <c r="C2" s="7">
        <f>$B2 * IFERROR(VLOOKUP("transport|PM25|Premature mortality", US_national_yearly!$D:$AM, 11, FALSE) / VLOOKUP("transport|PM25|Premature mortality", US_national_yearly!$D:$AM, 10, FALSE), 1)</f>
        <v>1.8407228318319362E-2</v>
      </c>
      <c r="D2" s="7">
        <f>$B2 * IFERROR(VLOOKUP("transport|PM25|Premature mortality", US_national_yearly!$D:$AM, 12, FALSE) / VLOOKUP("transport|PM25|Premature mortality", US_national_yearly!$D:$AM, 10, FALSE), 1)</f>
        <v>1.863264296268384E-2</v>
      </c>
      <c r="E2" s="7">
        <f>$B2 * IFERROR(VLOOKUP("transport|PM25|Premature mortality", US_national_yearly!$D:$AM, 13, FALSE) / VLOOKUP("transport|PM25|Premature mortality", US_national_yearly!$D:$AM, 10, FALSE), 1)</f>
        <v>1.8858057607048322E-2</v>
      </c>
      <c r="F2" s="7">
        <f>$B2 * IFERROR(VLOOKUP("transport|PM25|Premature mortality", US_national_yearly!$D:$AM, 14, FALSE) / VLOOKUP("transport|PM25|Premature mortality", US_national_yearly!$D:$AM, 10, FALSE), 1)</f>
        <v>1.9083472251412801E-2</v>
      </c>
      <c r="G2" s="7">
        <f>$B2 * IFERROR(VLOOKUP("transport|PM25|Premature mortality", US_national_yearly!$D:$AM, 15, FALSE) / VLOOKUP("transport|PM25|Premature mortality", US_national_yearly!$D:$AM, 10, FALSE), 1)</f>
        <v>1.9522465571275623E-2</v>
      </c>
      <c r="H2" s="7">
        <f>$B2 * IFERROR(VLOOKUP("transport|PM25|Premature mortality", US_national_yearly!$D:$AM, 16, FALSE) / VLOOKUP("transport|PM25|Premature mortality", US_national_yearly!$D:$AM, 10, FALSE), 1)</f>
        <v>1.9961458891138446E-2</v>
      </c>
      <c r="I2" s="7">
        <f>$B2 * IFERROR(VLOOKUP("transport|PM25|Premature mortality", US_national_yearly!$D:$AM, 17, FALSE) / VLOOKUP("transport|PM25|Premature mortality", US_national_yearly!$D:$AM, 10, FALSE), 1)</f>
        <v>2.0249808183107603E-2</v>
      </c>
      <c r="J2" s="7">
        <f>$B2 * IFERROR(VLOOKUP("transport|PM25|Premature mortality", US_national_yearly!$D:$AM, 18, FALSE) / VLOOKUP("transport|PM25|Premature mortality", US_national_yearly!$D:$AM, 10, FALSE), 1)</f>
        <v>2.0538157475076764E-2</v>
      </c>
      <c r="K2" s="7">
        <f>$B2 * IFERROR(VLOOKUP("transport|PM25|Premature mortality", US_national_yearly!$D:$AM, 19, FALSE) / VLOOKUP("transport|PM25|Premature mortality", US_national_yearly!$D:$AM, 10, FALSE), 1)</f>
        <v>2.0826506767045925E-2</v>
      </c>
      <c r="L2" s="7">
        <f>$B2 * IFERROR(VLOOKUP("transport|PM25|Premature mortality", US_national_yearly!$D:$AM, 20, FALSE) / VLOOKUP("transport|PM25|Premature mortality", US_national_yearly!$D:$AM, 10, FALSE), 1)</f>
        <v>2.1114856059015086E-2</v>
      </c>
      <c r="M2" s="7">
        <f>$B2 * IFERROR(VLOOKUP("transport|PM25|Premature mortality", US_national_yearly!$D:$AM, 21, FALSE) / VLOOKUP("transport|PM25|Premature mortality", US_national_yearly!$D:$AM, 10, FALSE), 1)</f>
        <v>2.1403205350984247E-2</v>
      </c>
      <c r="N2" s="7">
        <f>$B2 * IFERROR(VLOOKUP("transport|PM25|Premature mortality", US_national_yearly!$D:$AM, 22, FALSE) / VLOOKUP("transport|PM25|Premature mortality", US_national_yearly!$D:$AM, 10, FALSE), 1)</f>
        <v>2.1627090224484596E-2</v>
      </c>
      <c r="O2" s="7">
        <f>$B2 * IFERROR(VLOOKUP("transport|PM25|Premature mortality", US_national_yearly!$D:$AM, 23, FALSE) / VLOOKUP("transport|PM25|Premature mortality", US_national_yearly!$D:$AM, 10, FALSE), 1)</f>
        <v>2.1850975097984948E-2</v>
      </c>
      <c r="P2" s="7">
        <f>$B2 * IFERROR(VLOOKUP("transport|PM25|Premature mortality", US_national_yearly!$D:$AM, 24, FALSE) / VLOOKUP("transport|PM25|Premature mortality", US_national_yearly!$D:$AM, 10, FALSE), 1)</f>
        <v>2.2074859971485297E-2</v>
      </c>
      <c r="Q2" s="7">
        <f>$B2 * IFERROR(VLOOKUP("transport|PM25|Premature mortality", US_national_yearly!$D:$AM, 25, FALSE) / VLOOKUP("transport|PM25|Premature mortality", US_national_yearly!$D:$AM, 10, FALSE), 1)</f>
        <v>2.229874484498565E-2</v>
      </c>
      <c r="R2" s="7">
        <f>$B2 * IFERROR(VLOOKUP("transport|PM25|Premature mortality", US_national_yearly!$D:$AM, 26, FALSE) / VLOOKUP("transport|PM25|Premature mortality", US_national_yearly!$D:$AM, 10, FALSE), 1)</f>
        <v>2.2522629718486002E-2</v>
      </c>
      <c r="S2" s="7">
        <f>$B2 * IFERROR(VLOOKUP("transport|PM25|Premature mortality", US_national_yearly!$D:$AM, 27, FALSE) / VLOOKUP("transport|PM25|Premature mortality", US_national_yearly!$D:$AM, 10, FALSE), 1)</f>
        <v>2.2641237272625188E-2</v>
      </c>
      <c r="T2" s="7">
        <f>$B2 * IFERROR(VLOOKUP("transport|PM25|Premature mortality", US_national_yearly!$D:$AM, 28, FALSE) / VLOOKUP("transport|PM25|Premature mortality", US_national_yearly!$D:$AM, 10, FALSE), 1)</f>
        <v>2.2759844826764367E-2</v>
      </c>
      <c r="U2" s="7">
        <f>$B2 * IFERROR(VLOOKUP("transport|PM25|Premature mortality", US_national_yearly!$D:$AM, 29, FALSE) / VLOOKUP("transport|PM25|Premature mortality", US_national_yearly!$D:$AM, 10, FALSE), 1)</f>
        <v>2.2878452380903549E-2</v>
      </c>
      <c r="V2" s="7">
        <f>$B2 * IFERROR(VLOOKUP("transport|PM25|Premature mortality", US_national_yearly!$D:$AM, 30, FALSE) / VLOOKUP("transport|PM25|Premature mortality", US_national_yearly!$D:$AM, 10, FALSE), 1)</f>
        <v>2.2997059935042728E-2</v>
      </c>
      <c r="W2" s="7">
        <f>$B2 * IFERROR(VLOOKUP("transport|PM25|Premature mortality", US_national_yearly!$D:$AM, 31, FALSE) / VLOOKUP("transport|PM25|Premature mortality", US_national_yearly!$D:$AM, 10, FALSE), 1)</f>
        <v>2.311566748918191E-2</v>
      </c>
      <c r="X2" s="7">
        <f>$B2 * IFERROR(VLOOKUP("transport|PM25|Premature mortality", US_national_yearly!$D:$AM, 32, FALSE) / VLOOKUP("transport|PM25|Premature mortality", US_national_yearly!$D:$AM, 10, FALSE), 1)</f>
        <v>2.3136406937516136E-2</v>
      </c>
      <c r="Y2" s="7">
        <f>$B2 * IFERROR(VLOOKUP("transport|PM25|Premature mortality", US_national_yearly!$D:$AM, 33, FALSE) / VLOOKUP("transport|PM25|Premature mortality", US_national_yearly!$D:$AM, 10, FALSE), 1)</f>
        <v>2.3157146385850366E-2</v>
      </c>
      <c r="Z2" s="7">
        <f>$B2 * IFERROR(VLOOKUP("transport|PM25|Premature mortality", US_national_yearly!$D:$AM, 34, FALSE) / VLOOKUP("transport|PM25|Premature mortality", US_national_yearly!$D:$AM, 10, FALSE), 1)</f>
        <v>2.3177885834184592E-2</v>
      </c>
      <c r="AA2" s="7">
        <f>$B2 * IFERROR(VLOOKUP("transport|PM25|Premature mortality", US_national_yearly!$D:$AM, 35, FALSE) / VLOOKUP("transport|PM25|Premature mortality", US_national_yearly!$D:$AM, 10, FALSE), 1)</f>
        <v>2.3198625282518821E-2</v>
      </c>
      <c r="AB2" s="7">
        <f>$B2 * IFERROR(VLOOKUP("transport|PM25|Premature mortality", US_national_yearly!$D:$AM, 36, FALSE) / VLOOKUP("transport|PM25|Premature mortality", US_national_yearly!$D:$AM, 10, FALSE), 1)</f>
        <v>2.3219364730853048E-2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4.6152031116073322E-5</v>
      </c>
      <c r="C3" s="7">
        <f>$B3 * IFERROR(VLOOKUP("transport|PM25|Infant mortality", US_national_yearly!$D:$AM, 11, FALSE) / VLOOKUP("transport|PM25|Infant mortality", US_national_yearly!$D:$AM, 10, FALSE), 1)</f>
        <v>4.574962751876974E-5</v>
      </c>
      <c r="D3" s="7">
        <f>$B3 * IFERROR(VLOOKUP("transport|PM25|Infant mortality", US_national_yearly!$D:$AM, 12, FALSE) / VLOOKUP("transport|PM25|Infant mortality", US_national_yearly!$D:$AM, 10, FALSE), 1)</f>
        <v>4.5347223921466145E-5</v>
      </c>
      <c r="E3" s="7">
        <f>$B3 * IFERROR(VLOOKUP("transport|PM25|Infant mortality", US_national_yearly!$D:$AM, 13, FALSE) / VLOOKUP("transport|PM25|Infant mortality", US_national_yearly!$D:$AM, 10, FALSE), 1)</f>
        <v>4.4944820324162563E-5</v>
      </c>
      <c r="F3" s="7">
        <f>$B3 * IFERROR(VLOOKUP("transport|PM25|Infant mortality", US_national_yearly!$D:$AM, 14, FALSE) / VLOOKUP("transport|PM25|Infant mortality", US_national_yearly!$D:$AM, 10, FALSE), 1)</f>
        <v>4.4542416726858968E-5</v>
      </c>
      <c r="G3" s="7">
        <f>$B3 * IFERROR(VLOOKUP("transport|PM25|Infant mortality", US_national_yearly!$D:$AM, 15, FALSE) / VLOOKUP("transport|PM25|Infant mortality", US_national_yearly!$D:$AM, 10, FALSE), 1)</f>
        <v>2.9623089784360642E-5</v>
      </c>
      <c r="H3" s="7">
        <f>$B3 * IFERROR(VLOOKUP("transport|PM25|Infant mortality", US_national_yearly!$D:$AM, 16, FALSE) / VLOOKUP("transport|PM25|Infant mortality", US_national_yearly!$D:$AM, 10, FALSE), 1)</f>
        <v>1.4703762841862303E-5</v>
      </c>
      <c r="I3" s="7">
        <f>$B3 * IFERROR(VLOOKUP("transport|PM25|Infant mortality", US_national_yearly!$D:$AM, 17, FALSE) / VLOOKUP("transport|PM25|Infant mortality", US_national_yearly!$D:$AM, 10, FALSE), 1)</f>
        <v>1.4607649463240563E-5</v>
      </c>
      <c r="J3" s="7">
        <f>$B3 * IFERROR(VLOOKUP("transport|PM25|Infant mortality", US_national_yearly!$D:$AM, 18, FALSE) / VLOOKUP("transport|PM25|Infant mortality", US_national_yearly!$D:$AM, 10, FALSE), 1)</f>
        <v>1.4511536084618822E-5</v>
      </c>
      <c r="K3" s="7">
        <f>$B3 * IFERROR(VLOOKUP("transport|PM25|Infant mortality", US_national_yearly!$D:$AM, 19, FALSE) / VLOOKUP("transport|PM25|Infant mortality", US_national_yearly!$D:$AM, 10, FALSE), 1)</f>
        <v>1.441542270599708E-5</v>
      </c>
      <c r="L3" s="7">
        <f>$B3 * IFERROR(VLOOKUP("transport|PM25|Infant mortality", US_national_yearly!$D:$AM, 20, FALSE) / VLOOKUP("transport|PM25|Infant mortality", US_national_yearly!$D:$AM, 10, FALSE), 1)</f>
        <v>1.4319309327375341E-5</v>
      </c>
      <c r="M3" s="7">
        <f>$B3 * IFERROR(VLOOKUP("transport|PM25|Infant mortality", US_national_yearly!$D:$AM, 21, FALSE) / VLOOKUP("transport|PM25|Infant mortality", US_national_yearly!$D:$AM, 10, FALSE), 1)</f>
        <v>1.4223195948753602E-5</v>
      </c>
      <c r="N3" s="7">
        <f>$B3 * IFERROR(VLOOKUP("transport|PM25|Infant mortality", US_national_yearly!$D:$AM, 22, FALSE) / VLOOKUP("transport|PM25|Infant mortality", US_national_yearly!$D:$AM, 10, FALSE), 1)</f>
        <v>1.4162826106188908E-5</v>
      </c>
      <c r="O3" s="7">
        <f>$B3 * IFERROR(VLOOKUP("transport|PM25|Infant mortality", US_national_yearly!$D:$AM, 23, FALSE) / VLOOKUP("transport|PM25|Infant mortality", US_national_yearly!$D:$AM, 10, FALSE), 1)</f>
        <v>1.4102456263624218E-5</v>
      </c>
      <c r="P3" s="7">
        <f>$B3 * IFERROR(VLOOKUP("transport|PM25|Infant mortality", US_national_yearly!$D:$AM, 24, FALSE) / VLOOKUP("transport|PM25|Infant mortality", US_national_yearly!$D:$AM, 10, FALSE), 1)</f>
        <v>1.4042086421059521E-5</v>
      </c>
      <c r="Q3" s="7">
        <f>$B3 * IFERROR(VLOOKUP("transport|PM25|Infant mortality", US_national_yearly!$D:$AM, 25, FALSE) / VLOOKUP("transport|PM25|Infant mortality", US_national_yearly!$D:$AM, 10, FALSE), 1)</f>
        <v>1.398171657849483E-5</v>
      </c>
      <c r="R3" s="7">
        <f>$B3 * IFERROR(VLOOKUP("transport|PM25|Infant mortality", US_national_yearly!$D:$AM, 26, FALSE) / VLOOKUP("transport|PM25|Infant mortality", US_national_yearly!$D:$AM, 10, FALSE), 1)</f>
        <v>1.3921346735930135E-5</v>
      </c>
      <c r="S3" s="7">
        <f>$B3 * IFERROR(VLOOKUP("transport|PM25|Infant mortality", US_national_yearly!$D:$AM, 27, FALSE) / VLOOKUP("transport|PM25|Infant mortality", US_national_yearly!$D:$AM, 10, FALSE), 1)</f>
        <v>1.3846094492815305E-5</v>
      </c>
      <c r="T3" s="7">
        <f>$B3 * IFERROR(VLOOKUP("transport|PM25|Infant mortality", US_national_yearly!$D:$AM, 28, FALSE) / VLOOKUP("transport|PM25|Infant mortality", US_national_yearly!$D:$AM, 10, FALSE), 1)</f>
        <v>1.3770842249700471E-5</v>
      </c>
      <c r="U3" s="7">
        <f>$B3 * IFERROR(VLOOKUP("transport|PM25|Infant mortality", US_national_yearly!$D:$AM, 29, FALSE) / VLOOKUP("transport|PM25|Infant mortality", US_national_yearly!$D:$AM, 10, FALSE), 1)</f>
        <v>1.3695590006585641E-5</v>
      </c>
      <c r="V3" s="7">
        <f>$B3 * IFERROR(VLOOKUP("transport|PM25|Infant mortality", US_national_yearly!$D:$AM, 30, FALSE) / VLOOKUP("transport|PM25|Infant mortality", US_national_yearly!$D:$AM, 10, FALSE), 1)</f>
        <v>1.3620337763470811E-5</v>
      </c>
      <c r="W3" s="7">
        <f>$B3 * IFERROR(VLOOKUP("transport|PM25|Infant mortality", US_national_yearly!$D:$AM, 31, FALSE) / VLOOKUP("transport|PM25|Infant mortality", US_national_yearly!$D:$AM, 10, FALSE), 1)</f>
        <v>1.3545085520355978E-5</v>
      </c>
      <c r="X3" s="7">
        <f>$B3 * IFERROR(VLOOKUP("transport|PM25|Infant mortality", US_national_yearly!$D:$AM, 32, FALSE) / VLOOKUP("transport|PM25|Infant mortality", US_national_yearly!$D:$AM, 10, FALSE), 1)</f>
        <v>1.346395414406351E-5</v>
      </c>
      <c r="Y3" s="7">
        <f>$B3 * IFERROR(VLOOKUP("transport|PM25|Infant mortality", US_national_yearly!$D:$AM, 33, FALSE) / VLOOKUP("transport|PM25|Infant mortality", US_national_yearly!$D:$AM, 10, FALSE), 1)</f>
        <v>1.338282276777104E-5</v>
      </c>
      <c r="Z3" s="7">
        <f>$B3 * IFERROR(VLOOKUP("transport|PM25|Infant mortality", US_national_yearly!$D:$AM, 34, FALSE) / VLOOKUP("transport|PM25|Infant mortality", US_national_yearly!$D:$AM, 10, FALSE), 1)</f>
        <v>1.3301691391478573E-5</v>
      </c>
      <c r="AA3" s="7">
        <f>$B3 * IFERROR(VLOOKUP("transport|PM25|Infant mortality", US_national_yearly!$D:$AM, 35, FALSE) / VLOOKUP("transport|PM25|Infant mortality", US_national_yearly!$D:$AM, 10, FALSE), 1)</f>
        <v>1.3220560015186104E-5</v>
      </c>
      <c r="AB3" s="7">
        <f>$B3 * IFERROR(VLOOKUP("transport|PM25|Infant mortality", US_national_yearly!$D:$AM, 36, FALSE) / VLOOKUP("transport|PM25|Infant mortality", US_national_yearly!$D:$AM, 10, FALSE), 1)</f>
        <v>1.3139428638893638E-5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4.3737138994531993E-2</v>
      </c>
      <c r="C6" s="7">
        <f>$B6 * IFERROR(VLOOKUP("transport|PM25|Asthma symptoms cough", US_national_yearly!$D:$AM, 11, FALSE) / VLOOKUP("transport|PM25|Asthma symptoms cough", US_national_yearly!$D:$AM, 10, FALSE), 1)</f>
        <v>4.3737138994531993E-2</v>
      </c>
      <c r="D6" s="7">
        <f>$B6 * IFERROR(VLOOKUP("transport|PM25|Asthma symptoms cough", US_national_yearly!$D:$AM, 12, FALSE) / VLOOKUP("transport|PM25|Asthma symptoms cough", US_national_yearly!$D:$AM, 10, FALSE), 1)</f>
        <v>4.3737138994531993E-2</v>
      </c>
      <c r="E6" s="7">
        <f>$B6 * IFERROR(VLOOKUP("transport|PM25|Asthma symptoms cough", US_national_yearly!$D:$AM, 13, FALSE) / VLOOKUP("transport|PM25|Asthma symptoms cough", US_national_yearly!$D:$AM, 10, FALSE), 1)</f>
        <v>4.3737138994531993E-2</v>
      </c>
      <c r="F6" s="7">
        <f>$B6 * IFERROR(VLOOKUP("transport|PM25|Asthma symptoms cough", US_national_yearly!$D:$AM, 14, FALSE) / VLOOKUP("transport|PM25|Asthma symptoms cough", US_national_yearly!$D:$AM, 10, FALSE), 1)</f>
        <v>4.3737138994531993E-2</v>
      </c>
      <c r="G6" s="7">
        <f>$B6 * IFERROR(VLOOKUP("transport|PM25|Asthma symptoms cough", US_national_yearly!$D:$AM, 15, FALSE) / VLOOKUP("transport|PM25|Asthma symptoms cough", US_national_yearly!$D:$AM, 10, FALSE), 1)</f>
        <v>4.3737138994531993E-2</v>
      </c>
      <c r="H6" s="7">
        <f>$B6 * IFERROR(VLOOKUP("transport|PM25|Asthma symptoms cough", US_national_yearly!$D:$AM, 16, FALSE) / VLOOKUP("transport|PM25|Asthma symptoms cough", US_national_yearly!$D:$AM, 10, FALSE), 1)</f>
        <v>4.3737138994531993E-2</v>
      </c>
      <c r="I6" s="7">
        <f>$B6 * IFERROR(VLOOKUP("transport|PM25|Asthma symptoms cough", US_national_yearly!$D:$AM, 17, FALSE) / VLOOKUP("transport|PM25|Asthma symptoms cough", US_national_yearly!$D:$AM, 10, FALSE), 1)</f>
        <v>4.3737138994531993E-2</v>
      </c>
      <c r="J6" s="7">
        <f>$B6 * IFERROR(VLOOKUP("transport|PM25|Asthma symptoms cough", US_national_yearly!$D:$AM, 18, FALSE) / VLOOKUP("transport|PM25|Asthma symptoms cough", US_national_yearly!$D:$AM, 10, FALSE), 1)</f>
        <v>4.3737138994531993E-2</v>
      </c>
      <c r="K6" s="7">
        <f>$B6 * IFERROR(VLOOKUP("transport|PM25|Asthma symptoms cough", US_national_yearly!$D:$AM, 19, FALSE) / VLOOKUP("transport|PM25|Asthma symptoms cough", US_national_yearly!$D:$AM, 10, FALSE), 1)</f>
        <v>4.3737138994531993E-2</v>
      </c>
      <c r="L6" s="7">
        <f>$B6 * IFERROR(VLOOKUP("transport|PM25|Asthma symptoms cough", US_national_yearly!$D:$AM, 20, FALSE) / VLOOKUP("transport|PM25|Asthma symptoms cough", US_national_yearly!$D:$AM, 10, FALSE), 1)</f>
        <v>4.3737138994531993E-2</v>
      </c>
      <c r="M6" s="7">
        <f>$B6 * IFERROR(VLOOKUP("transport|PM25|Asthma symptoms cough", US_national_yearly!$D:$AM, 21, FALSE) / VLOOKUP("transport|PM25|Asthma symptoms cough", US_national_yearly!$D:$AM, 10, FALSE), 1)</f>
        <v>4.3737138994531993E-2</v>
      </c>
      <c r="N6" s="7">
        <f>$B6 * IFERROR(VLOOKUP("transport|PM25|Asthma symptoms cough", US_national_yearly!$D:$AM, 22, FALSE) / VLOOKUP("transport|PM25|Asthma symptoms cough", US_national_yearly!$D:$AM, 10, FALSE), 1)</f>
        <v>4.3737138994531993E-2</v>
      </c>
      <c r="O6" s="7">
        <f>$B6 * IFERROR(VLOOKUP("transport|PM25|Asthma symptoms cough", US_national_yearly!$D:$AM, 23, FALSE) / VLOOKUP("transport|PM25|Asthma symptoms cough", US_national_yearly!$D:$AM, 10, FALSE), 1)</f>
        <v>4.3737138994531993E-2</v>
      </c>
      <c r="P6" s="7">
        <f>$B6 * IFERROR(VLOOKUP("transport|PM25|Asthma symptoms cough", US_national_yearly!$D:$AM, 24, FALSE) / VLOOKUP("transport|PM25|Asthma symptoms cough", US_national_yearly!$D:$AM, 10, FALSE), 1)</f>
        <v>4.3737138994531993E-2</v>
      </c>
      <c r="Q6" s="7">
        <f>$B6 * IFERROR(VLOOKUP("transport|PM25|Asthma symptoms cough", US_national_yearly!$D:$AM, 25, FALSE) / VLOOKUP("transport|PM25|Asthma symptoms cough", US_national_yearly!$D:$AM, 10, FALSE), 1)</f>
        <v>4.3737138994531993E-2</v>
      </c>
      <c r="R6" s="7">
        <f>$B6 * IFERROR(VLOOKUP("transport|PM25|Asthma symptoms cough", US_national_yearly!$D:$AM, 26, FALSE) / VLOOKUP("transport|PM25|Asthma symptoms cough", US_national_yearly!$D:$AM, 10, FALSE), 1)</f>
        <v>4.3737138994531993E-2</v>
      </c>
      <c r="S6" s="7">
        <f>$B6 * IFERROR(VLOOKUP("transport|PM25|Asthma symptoms cough", US_national_yearly!$D:$AM, 27, FALSE) / VLOOKUP("transport|PM25|Asthma symptoms cough", US_national_yearly!$D:$AM, 10, FALSE), 1)</f>
        <v>4.3737138994531993E-2</v>
      </c>
      <c r="T6" s="7">
        <f>$B6 * IFERROR(VLOOKUP("transport|PM25|Asthma symptoms cough", US_national_yearly!$D:$AM, 28, FALSE) / VLOOKUP("transport|PM25|Asthma symptoms cough", US_national_yearly!$D:$AM, 10, FALSE), 1)</f>
        <v>4.3737138994531993E-2</v>
      </c>
      <c r="U6" s="7">
        <f>$B6 * IFERROR(VLOOKUP("transport|PM25|Asthma symptoms cough", US_national_yearly!$D:$AM, 29, FALSE) / VLOOKUP("transport|PM25|Asthma symptoms cough", US_national_yearly!$D:$AM, 10, FALSE), 1)</f>
        <v>4.3737138994531993E-2</v>
      </c>
      <c r="V6" s="7">
        <f>$B6 * IFERROR(VLOOKUP("transport|PM25|Asthma symptoms cough", US_national_yearly!$D:$AM, 30, FALSE) / VLOOKUP("transport|PM25|Asthma symptoms cough", US_national_yearly!$D:$AM, 10, FALSE), 1)</f>
        <v>4.3737138994531993E-2</v>
      </c>
      <c r="W6" s="7">
        <f>$B6 * IFERROR(VLOOKUP("transport|PM25|Asthma symptoms cough", US_national_yearly!$D:$AM, 31, FALSE) / VLOOKUP("transport|PM25|Asthma symptoms cough", US_national_yearly!$D:$AM, 10, FALSE), 1)</f>
        <v>4.3737138994531993E-2</v>
      </c>
      <c r="X6" s="7">
        <f>$B6 * IFERROR(VLOOKUP("transport|PM25|Asthma symptoms cough", US_national_yearly!$D:$AM, 32, FALSE) / VLOOKUP("transport|PM25|Asthma symptoms cough", US_national_yearly!$D:$AM, 10, FALSE), 1)</f>
        <v>4.3737138994531993E-2</v>
      </c>
      <c r="Y6" s="7">
        <f>$B6 * IFERROR(VLOOKUP("transport|PM25|Asthma symptoms cough", US_national_yearly!$D:$AM, 33, FALSE) / VLOOKUP("transport|PM25|Asthma symptoms cough", US_national_yearly!$D:$AM, 10, FALSE), 1)</f>
        <v>4.3737138994531993E-2</v>
      </c>
      <c r="Z6" s="7">
        <f>$B6 * IFERROR(VLOOKUP("transport|PM25|Asthma symptoms cough", US_national_yearly!$D:$AM, 34, FALSE) / VLOOKUP("transport|PM25|Asthma symptoms cough", US_national_yearly!$D:$AM, 10, FALSE), 1)</f>
        <v>4.3737138994531993E-2</v>
      </c>
      <c r="AA6" s="7">
        <f>$B6 * IFERROR(VLOOKUP("transport|PM25|Asthma symptoms cough", US_national_yearly!$D:$AM, 35, FALSE) / VLOOKUP("transport|PM25|Asthma symptoms cough", US_national_yearly!$D:$AM, 10, FALSE), 1)</f>
        <v>4.3737138994531993E-2</v>
      </c>
      <c r="AB6" s="7">
        <f>$B6 * IFERROR(VLOOKUP("transport|PM25|Asthma symptoms cough", US_national_yearly!$D:$AM, 36, FALSE) / VLOOKUP("transport|PM25|Asthma symptoms cough", US_national_yearly!$D:$AM, 10, FALSE), 1)</f>
        <v>4.3737138994531993E-2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5.8896978025880641E-2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5.8896978025880641E-2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5.8896978025880641E-2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5.8896978025880641E-2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5.8896978025880641E-2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5.8896978025880641E-2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5.8896978025880641E-2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5.8896978025880641E-2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5.8896978025880641E-2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5.8896978025880641E-2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5.8896978025880641E-2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5.8896978025880641E-2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5.8896978025880641E-2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5.8896978025880641E-2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5.8896978025880641E-2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5.8896978025880641E-2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5.8896978025880641E-2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5.8896978025880641E-2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5.8896978025880641E-2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5.8896978025880641E-2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5.8896978025880641E-2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5.8896978025880641E-2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5.8896978025880641E-2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5.8896978025880641E-2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5.8896978025880641E-2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5.8896978025880641E-2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5.8896978025880641E-2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8.9989685736138261E-2</v>
      </c>
      <c r="C8" s="7">
        <f>$B8 * IFERROR(VLOOKUP("transport|PM25|Asthma symptoms wheeze", US_national_yearly!$D:$AM, 11, FALSE) / VLOOKUP("transport|PM25|Asthma symptoms wheeze", US_national_yearly!$D:$AM, 10, FALSE), 1)</f>
        <v>8.9989685736138261E-2</v>
      </c>
      <c r="D8" s="7">
        <f>$B8 * IFERROR(VLOOKUP("transport|PM25|Asthma symptoms wheeze", US_national_yearly!$D:$AM, 12, FALSE) / VLOOKUP("transport|PM25|Asthma symptoms wheeze", US_national_yearly!$D:$AM, 10, FALSE), 1)</f>
        <v>8.9989685736138261E-2</v>
      </c>
      <c r="E8" s="7">
        <f>$B8 * IFERROR(VLOOKUP("transport|PM25|Asthma symptoms wheeze", US_national_yearly!$D:$AM, 13, FALSE) / VLOOKUP("transport|PM25|Asthma symptoms wheeze", US_national_yearly!$D:$AM, 10, FALSE), 1)</f>
        <v>8.9989685736138261E-2</v>
      </c>
      <c r="F8" s="7">
        <f>$B8 * IFERROR(VLOOKUP("transport|PM25|Asthma symptoms wheeze", US_national_yearly!$D:$AM, 14, FALSE) / VLOOKUP("transport|PM25|Asthma symptoms wheeze", US_national_yearly!$D:$AM, 10, FALSE), 1)</f>
        <v>8.9989685736138261E-2</v>
      </c>
      <c r="G8" s="7">
        <f>$B8 * IFERROR(VLOOKUP("transport|PM25|Asthma symptoms wheeze", US_national_yearly!$D:$AM, 15, FALSE) / VLOOKUP("transport|PM25|Asthma symptoms wheeze", US_national_yearly!$D:$AM, 10, FALSE), 1)</f>
        <v>8.9989685736138261E-2</v>
      </c>
      <c r="H8" s="7">
        <f>$B8 * IFERROR(VLOOKUP("transport|PM25|Asthma symptoms wheeze", US_national_yearly!$D:$AM, 16, FALSE) / VLOOKUP("transport|PM25|Asthma symptoms wheeze", US_national_yearly!$D:$AM, 10, FALSE), 1)</f>
        <v>8.9989685736138261E-2</v>
      </c>
      <c r="I8" s="7">
        <f>$B8 * IFERROR(VLOOKUP("transport|PM25|Asthma symptoms wheeze", US_national_yearly!$D:$AM, 17, FALSE) / VLOOKUP("transport|PM25|Asthma symptoms wheeze", US_national_yearly!$D:$AM, 10, FALSE), 1)</f>
        <v>8.9989685736138261E-2</v>
      </c>
      <c r="J8" s="7">
        <f>$B8 * IFERROR(VLOOKUP("transport|PM25|Asthma symptoms wheeze", US_national_yearly!$D:$AM, 18, FALSE) / VLOOKUP("transport|PM25|Asthma symptoms wheeze", US_national_yearly!$D:$AM, 10, FALSE), 1)</f>
        <v>8.9989685736138261E-2</v>
      </c>
      <c r="K8" s="7">
        <f>$B8 * IFERROR(VLOOKUP("transport|PM25|Asthma symptoms wheeze", US_national_yearly!$D:$AM, 19, FALSE) / VLOOKUP("transport|PM25|Asthma symptoms wheeze", US_national_yearly!$D:$AM, 10, FALSE), 1)</f>
        <v>8.9989685736138261E-2</v>
      </c>
      <c r="L8" s="7">
        <f>$B8 * IFERROR(VLOOKUP("transport|PM25|Asthma symptoms wheeze", US_national_yearly!$D:$AM, 20, FALSE) / VLOOKUP("transport|PM25|Asthma symptoms wheeze", US_national_yearly!$D:$AM, 10, FALSE), 1)</f>
        <v>8.9989685736138261E-2</v>
      </c>
      <c r="M8" s="7">
        <f>$B8 * IFERROR(VLOOKUP("transport|PM25|Asthma symptoms wheeze", US_national_yearly!$D:$AM, 21, FALSE) / VLOOKUP("transport|PM25|Asthma symptoms wheeze", US_national_yearly!$D:$AM, 10, FALSE), 1)</f>
        <v>8.9989685736138261E-2</v>
      </c>
      <c r="N8" s="7">
        <f>$B8 * IFERROR(VLOOKUP("transport|PM25|Asthma symptoms wheeze", US_national_yearly!$D:$AM, 22, FALSE) / VLOOKUP("transport|PM25|Asthma symptoms wheeze", US_national_yearly!$D:$AM, 10, FALSE), 1)</f>
        <v>8.9989685736138261E-2</v>
      </c>
      <c r="O8" s="7">
        <f>$B8 * IFERROR(VLOOKUP("transport|PM25|Asthma symptoms wheeze", US_national_yearly!$D:$AM, 23, FALSE) / VLOOKUP("transport|PM25|Asthma symptoms wheeze", US_national_yearly!$D:$AM, 10, FALSE), 1)</f>
        <v>8.9989685736138261E-2</v>
      </c>
      <c r="P8" s="7">
        <f>$B8 * IFERROR(VLOOKUP("transport|PM25|Asthma symptoms wheeze", US_national_yearly!$D:$AM, 24, FALSE) / VLOOKUP("transport|PM25|Asthma symptoms wheeze", US_national_yearly!$D:$AM, 10, FALSE), 1)</f>
        <v>8.9989685736138261E-2</v>
      </c>
      <c r="Q8" s="7">
        <f>$B8 * IFERROR(VLOOKUP("transport|PM25|Asthma symptoms wheeze", US_national_yearly!$D:$AM, 25, FALSE) / VLOOKUP("transport|PM25|Asthma symptoms wheeze", US_national_yearly!$D:$AM, 10, FALSE), 1)</f>
        <v>8.9989685736138261E-2</v>
      </c>
      <c r="R8" s="7">
        <f>$B8 * IFERROR(VLOOKUP("transport|PM25|Asthma symptoms wheeze", US_national_yearly!$D:$AM, 26, FALSE) / VLOOKUP("transport|PM25|Asthma symptoms wheeze", US_national_yearly!$D:$AM, 10, FALSE), 1)</f>
        <v>8.9989685736138261E-2</v>
      </c>
      <c r="S8" s="7">
        <f>$B8 * IFERROR(VLOOKUP("transport|PM25|Asthma symptoms wheeze", US_national_yearly!$D:$AM, 27, FALSE) / VLOOKUP("transport|PM25|Asthma symptoms wheeze", US_national_yearly!$D:$AM, 10, FALSE), 1)</f>
        <v>8.9989685736138261E-2</v>
      </c>
      <c r="T8" s="7">
        <f>$B8 * IFERROR(VLOOKUP("transport|PM25|Asthma symptoms wheeze", US_national_yearly!$D:$AM, 28, FALSE) / VLOOKUP("transport|PM25|Asthma symptoms wheeze", US_national_yearly!$D:$AM, 10, FALSE), 1)</f>
        <v>8.9989685736138261E-2</v>
      </c>
      <c r="U8" s="7">
        <f>$B8 * IFERROR(VLOOKUP("transport|PM25|Asthma symptoms wheeze", US_national_yearly!$D:$AM, 29, FALSE) / VLOOKUP("transport|PM25|Asthma symptoms wheeze", US_national_yearly!$D:$AM, 10, FALSE), 1)</f>
        <v>8.9989685736138261E-2</v>
      </c>
      <c r="V8" s="7">
        <f>$B8 * IFERROR(VLOOKUP("transport|PM25|Asthma symptoms wheeze", US_national_yearly!$D:$AM, 30, FALSE) / VLOOKUP("transport|PM25|Asthma symptoms wheeze", US_national_yearly!$D:$AM, 10, FALSE), 1)</f>
        <v>8.9989685736138261E-2</v>
      </c>
      <c r="W8" s="7">
        <f>$B8 * IFERROR(VLOOKUP("transport|PM25|Asthma symptoms wheeze", US_national_yearly!$D:$AM, 31, FALSE) / VLOOKUP("transport|PM25|Asthma symptoms wheeze", US_national_yearly!$D:$AM, 10, FALSE), 1)</f>
        <v>8.9989685736138261E-2</v>
      </c>
      <c r="X8" s="7">
        <f>$B8 * IFERROR(VLOOKUP("transport|PM25|Asthma symptoms wheeze", US_national_yearly!$D:$AM, 32, FALSE) / VLOOKUP("transport|PM25|Asthma symptoms wheeze", US_national_yearly!$D:$AM, 10, FALSE), 1)</f>
        <v>8.9989685736138261E-2</v>
      </c>
      <c r="Y8" s="7">
        <f>$B8 * IFERROR(VLOOKUP("transport|PM25|Asthma symptoms wheeze", US_national_yearly!$D:$AM, 33, FALSE) / VLOOKUP("transport|PM25|Asthma symptoms wheeze", US_national_yearly!$D:$AM, 10, FALSE), 1)</f>
        <v>8.9989685736138261E-2</v>
      </c>
      <c r="Z8" s="7">
        <f>$B8 * IFERROR(VLOOKUP("transport|PM25|Asthma symptoms wheeze", US_national_yearly!$D:$AM, 34, FALSE) / VLOOKUP("transport|PM25|Asthma symptoms wheeze", US_national_yearly!$D:$AM, 10, FALSE), 1)</f>
        <v>8.9989685736138261E-2</v>
      </c>
      <c r="AA8" s="7">
        <f>$B8 * IFERROR(VLOOKUP("transport|PM25|Asthma symptoms wheeze", US_national_yearly!$D:$AM, 35, FALSE) / VLOOKUP("transport|PM25|Asthma symptoms wheeze", US_national_yearly!$D:$AM, 10, FALSE), 1)</f>
        <v>8.9989685736138261E-2</v>
      </c>
      <c r="AB8" s="7">
        <f>$B8 * IFERROR(VLOOKUP("transport|PM25|Asthma symptoms wheeze", US_national_yearly!$D:$AM, 36, FALSE) / VLOOKUP("transport|PM25|Asthma symptoms wheeze", US_national_yearly!$D:$AM, 10, FALSE), 1)</f>
        <v>8.9989685736138261E-2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1.5467162510715618E-3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1.5555814052079656E-3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1.5644465593443692E-3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1.5733117134807729E-3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1.5821768676171763E-3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1.5917516122300858E-3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1.6013263568429954E-3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1.6104746615424562E-3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1.6196229662419179E-3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1.6287712709413791E-3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1.6379195756408406E-3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1.6470678803403016E-3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1.6536338855873685E-3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1.6601998908344351E-3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1.6667658960815013E-3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1.6733319013285679E-3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1.6798979065756349E-3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1.6861496087593689E-3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1.6924013109431031E-3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1.6986530131268371E-3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1.7049047153105709E-3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1.7111564174943049E-3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1.7171706347428341E-3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1.7231848519913624E-3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1.7291990692398912E-3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1.7352132864884196E-3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1.7412275037369483E-3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8.4972065715599437E-3</v>
      </c>
      <c r="C13" s="7">
        <f>$B13 * IFERROR(VLOOKUP("transport|PM25|Non-fatal heart attacks", US_national_yearly!$D:$AM, 11, FALSE) / VLOOKUP("transport|PM25|Non-fatal heart attacks", US_national_yearly!$D:$AM, 10, FALSE), 1)</f>
        <v>8.7442429156007005E-3</v>
      </c>
      <c r="D13" s="7">
        <f>$B13 * IFERROR(VLOOKUP("transport|PM25|Non-fatal heart attacks", US_national_yearly!$D:$AM, 12, FALSE) / VLOOKUP("transport|PM25|Non-fatal heart attacks", US_national_yearly!$D:$AM, 10, FALSE), 1)</f>
        <v>8.9912792596414572E-3</v>
      </c>
      <c r="E13" s="7">
        <f>$B13 * IFERROR(VLOOKUP("transport|PM25|Non-fatal heart attacks", US_national_yearly!$D:$AM, 13, FALSE) / VLOOKUP("transport|PM25|Non-fatal heart attacks", US_national_yearly!$D:$AM, 10, FALSE), 1)</f>
        <v>9.2383156036822105E-3</v>
      </c>
      <c r="F13" s="7">
        <f>$B13 * IFERROR(VLOOKUP("transport|PM25|Non-fatal heart attacks", US_national_yearly!$D:$AM, 14, FALSE) / VLOOKUP("transport|PM25|Non-fatal heart attacks", US_national_yearly!$D:$AM, 10, FALSE), 1)</f>
        <v>9.4853519477229691E-3</v>
      </c>
      <c r="G13" s="7">
        <f>$B13 * IFERROR(VLOOKUP("transport|PM25|Non-fatal heart attacks", US_national_yearly!$D:$AM, 15, FALSE) / VLOOKUP("transport|PM25|Non-fatal heart attacks", US_national_yearly!$D:$AM, 10, FALSE), 1)</f>
        <v>9.7183228374882972E-3</v>
      </c>
      <c r="H13" s="7">
        <f>$B13 * IFERROR(VLOOKUP("transport|PM25|Non-fatal heart attacks", US_national_yearly!$D:$AM, 16, FALSE) / VLOOKUP("transport|PM25|Non-fatal heart attacks", US_national_yearly!$D:$AM, 10, FALSE), 1)</f>
        <v>9.9512937272536236E-3</v>
      </c>
      <c r="I13" s="7">
        <f>$B13 * IFERROR(VLOOKUP("transport|PM25|Non-fatal heart attacks", US_national_yearly!$D:$AM, 17, FALSE) / VLOOKUP("transport|PM25|Non-fatal heart attacks", US_national_yearly!$D:$AM, 10, FALSE), 1)</f>
        <v>1.013852480039522E-2</v>
      </c>
      <c r="J13" s="7">
        <f>$B13 * IFERROR(VLOOKUP("transport|PM25|Non-fatal heart attacks", US_national_yearly!$D:$AM, 18, FALSE) / VLOOKUP("transport|PM25|Non-fatal heart attacks", US_national_yearly!$D:$AM, 10, FALSE), 1)</f>
        <v>1.0325755873536816E-2</v>
      </c>
      <c r="K13" s="7">
        <f>$B13 * IFERROR(VLOOKUP("transport|PM25|Non-fatal heart attacks", US_national_yearly!$D:$AM, 19, FALSE) / VLOOKUP("transport|PM25|Non-fatal heart attacks", US_national_yearly!$D:$AM, 10, FALSE), 1)</f>
        <v>1.0512986946678415E-2</v>
      </c>
      <c r="L13" s="7">
        <f>$B13 * IFERROR(VLOOKUP("transport|PM25|Non-fatal heart attacks", US_national_yearly!$D:$AM, 20, FALSE) / VLOOKUP("transport|PM25|Non-fatal heart attacks", US_national_yearly!$D:$AM, 10, FALSE), 1)</f>
        <v>1.0700218019820011E-2</v>
      </c>
      <c r="M13" s="7">
        <f>$B13 * IFERROR(VLOOKUP("transport|PM25|Non-fatal heart attacks", US_national_yearly!$D:$AM, 21, FALSE) / VLOOKUP("transport|PM25|Non-fatal heart attacks", US_national_yearly!$D:$AM, 10, FALSE), 1)</f>
        <v>1.0887449092961611E-2</v>
      </c>
      <c r="N13" s="7">
        <f>$B13 * IFERROR(VLOOKUP("transport|PM25|Non-fatal heart attacks", US_national_yearly!$D:$AM, 22, FALSE) / VLOOKUP("transport|PM25|Non-fatal heart attacks", US_national_yearly!$D:$AM, 10, FALSE), 1)</f>
        <v>1.1008194646915813E-2</v>
      </c>
      <c r="O13" s="7">
        <f>$B13 * IFERROR(VLOOKUP("transport|PM25|Non-fatal heart attacks", US_national_yearly!$D:$AM, 23, FALSE) / VLOOKUP("transport|PM25|Non-fatal heart attacks", US_national_yearly!$D:$AM, 10, FALSE), 1)</f>
        <v>1.1128940200870017E-2</v>
      </c>
      <c r="P13" s="7">
        <f>$B13 * IFERROR(VLOOKUP("transport|PM25|Non-fatal heart attacks", US_national_yearly!$D:$AM, 24, FALSE) / VLOOKUP("transport|PM25|Non-fatal heart attacks", US_national_yearly!$D:$AM, 10, FALSE), 1)</f>
        <v>1.1249685754824221E-2</v>
      </c>
      <c r="Q13" s="7">
        <f>$B13 * IFERROR(VLOOKUP("transport|PM25|Non-fatal heart attacks", US_national_yearly!$D:$AM, 25, FALSE) / VLOOKUP("transport|PM25|Non-fatal heart attacks", US_national_yearly!$D:$AM, 10, FALSE), 1)</f>
        <v>1.1370431308778423E-2</v>
      </c>
      <c r="R13" s="7">
        <f>$B13 * IFERROR(VLOOKUP("transport|PM25|Non-fatal heart attacks", US_national_yearly!$D:$AM, 26, FALSE) / VLOOKUP("transport|PM25|Non-fatal heart attacks", US_national_yearly!$D:$AM, 10, FALSE), 1)</f>
        <v>1.1491176862732627E-2</v>
      </c>
      <c r="S13" s="7">
        <f>$B13 * IFERROR(VLOOKUP("transport|PM25|Non-fatal heart attacks", US_national_yearly!$D:$AM, 27, FALSE) / VLOOKUP("transport|PM25|Non-fatal heart attacks", US_national_yearly!$D:$AM, 10, FALSE), 1)</f>
        <v>1.155476492111906E-2</v>
      </c>
      <c r="T13" s="7">
        <f>$B13 * IFERROR(VLOOKUP("transport|PM25|Non-fatal heart attacks", US_national_yearly!$D:$AM, 28, FALSE) / VLOOKUP("transport|PM25|Non-fatal heart attacks", US_national_yearly!$D:$AM, 10, FALSE), 1)</f>
        <v>1.1618352979505496E-2</v>
      </c>
      <c r="U13" s="7">
        <f>$B13 * IFERROR(VLOOKUP("transport|PM25|Non-fatal heart attacks", US_national_yearly!$D:$AM, 29, FALSE) / VLOOKUP("transport|PM25|Non-fatal heart attacks", US_national_yearly!$D:$AM, 10, FALSE), 1)</f>
        <v>1.1681941037891932E-2</v>
      </c>
      <c r="V13" s="7">
        <f>$B13 * IFERROR(VLOOKUP("transport|PM25|Non-fatal heart attacks", US_national_yearly!$D:$AM, 30, FALSE) / VLOOKUP("transport|PM25|Non-fatal heart attacks", US_national_yearly!$D:$AM, 10, FALSE), 1)</f>
        <v>1.1745529096278367E-2</v>
      </c>
      <c r="W13" s="7">
        <f>$B13 * IFERROR(VLOOKUP("transport|PM25|Non-fatal heart attacks", US_national_yearly!$D:$AM, 31, FALSE) / VLOOKUP("transport|PM25|Non-fatal heart attacks", US_national_yearly!$D:$AM, 10, FALSE), 1)</f>
        <v>1.1809117154664801E-2</v>
      </c>
      <c r="X13" s="7">
        <f>$B13 * IFERROR(VLOOKUP("transport|PM25|Non-fatal heart attacks", US_national_yearly!$D:$AM, 32, FALSE) / VLOOKUP("transport|PM25|Non-fatal heart attacks", US_national_yearly!$D:$AM, 10, FALSE), 1)</f>
        <v>1.1857389685624378E-2</v>
      </c>
      <c r="Y13" s="7">
        <f>$B13 * IFERROR(VLOOKUP("transport|PM25|Non-fatal heart attacks", US_national_yearly!$D:$AM, 33, FALSE) / VLOOKUP("transport|PM25|Non-fatal heart attacks", US_national_yearly!$D:$AM, 10, FALSE), 1)</f>
        <v>1.1905662216583958E-2</v>
      </c>
      <c r="Z13" s="7">
        <f>$B13 * IFERROR(VLOOKUP("transport|PM25|Non-fatal heart attacks", US_national_yearly!$D:$AM, 34, FALSE) / VLOOKUP("transport|PM25|Non-fatal heart attacks", US_national_yearly!$D:$AM, 10, FALSE), 1)</f>
        <v>1.1953934747543537E-2</v>
      </c>
      <c r="AA13" s="7">
        <f>$B13 * IFERROR(VLOOKUP("transport|PM25|Non-fatal heart attacks", US_national_yearly!$D:$AM, 35, FALSE) / VLOOKUP("transport|PM25|Non-fatal heart attacks", US_national_yearly!$D:$AM, 10, FALSE), 1)</f>
        <v>1.2002207278503116E-2</v>
      </c>
      <c r="AB13" s="7">
        <f>$B13 * IFERROR(VLOOKUP("transport|PM25|Non-fatal heart attacks", US_national_yearly!$D:$AM, 36, FALSE) / VLOOKUP("transport|PM25|Non-fatal heart attacks", US_national_yearly!$D:$AM, 10, FALSE), 1)</f>
        <v>1.2050479809462694E-2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5.4068709280472103</v>
      </c>
      <c r="C14" s="7">
        <f>$B14 * IFERROR(VLOOKUP("transport|PM25|Minor restricted activity days", US_national_yearly!$D:$AM, 11, FALSE) / VLOOKUP("transport|PM25|Minor restricted activity days", US_national_yearly!$D:$AM, 10, FALSE), 1)</f>
        <v>5.4200751480591034</v>
      </c>
      <c r="D14" s="7">
        <f>$B14 * IFERROR(VLOOKUP("transport|PM25|Minor restricted activity days", US_national_yearly!$D:$AM, 12, FALSE) / VLOOKUP("transport|PM25|Minor restricted activity days", US_national_yearly!$D:$AM, 10, FALSE), 1)</f>
        <v>5.4332793680709974</v>
      </c>
      <c r="E14" s="7">
        <f>$B14 * IFERROR(VLOOKUP("transport|PM25|Minor restricted activity days", US_national_yearly!$D:$AM, 13, FALSE) / VLOOKUP("transport|PM25|Minor restricted activity days", US_national_yearly!$D:$AM, 10, FALSE), 1)</f>
        <v>5.4464835880828915</v>
      </c>
      <c r="F14" s="7">
        <f>$B14 * IFERROR(VLOOKUP("transport|PM25|Minor restricted activity days", US_national_yearly!$D:$AM, 14, FALSE) / VLOOKUP("transport|PM25|Minor restricted activity days", US_national_yearly!$D:$AM, 10, FALSE), 1)</f>
        <v>5.4596878080947837</v>
      </c>
      <c r="G14" s="7">
        <f>$B14 * IFERROR(VLOOKUP("transport|PM25|Minor restricted activity days", US_national_yearly!$D:$AM, 15, FALSE) / VLOOKUP("transport|PM25|Minor restricted activity days", US_national_yearly!$D:$AM, 10, FALSE), 1)</f>
        <v>5.4791702395542723</v>
      </c>
      <c r="H14" s="7">
        <f>$B14 * IFERROR(VLOOKUP("transport|PM25|Minor restricted activity days", US_national_yearly!$D:$AM, 16, FALSE) / VLOOKUP("transport|PM25|Minor restricted activity days", US_national_yearly!$D:$AM, 10, FALSE), 1)</f>
        <v>5.4986526710137609</v>
      </c>
      <c r="I14" s="7">
        <f>$B14 * IFERROR(VLOOKUP("transport|PM25|Minor restricted activity days", US_national_yearly!$D:$AM, 17, FALSE) / VLOOKUP("transport|PM25|Minor restricted activity days", US_national_yearly!$D:$AM, 10, FALSE), 1)</f>
        <v>5.5319587072358321</v>
      </c>
      <c r="J14" s="7">
        <f>$B14 * IFERROR(VLOOKUP("transport|PM25|Minor restricted activity days", US_national_yearly!$D:$AM, 18, FALSE) / VLOOKUP("transport|PM25|Minor restricted activity days", US_national_yearly!$D:$AM, 10, FALSE), 1)</f>
        <v>5.5652647434579015</v>
      </c>
      <c r="K14" s="7">
        <f>$B14 * IFERROR(VLOOKUP("transport|PM25|Minor restricted activity days", US_national_yearly!$D:$AM, 19, FALSE) / VLOOKUP("transport|PM25|Minor restricted activity days", US_national_yearly!$D:$AM, 10, FALSE), 1)</f>
        <v>5.5985707796799735</v>
      </c>
      <c r="L14" s="7">
        <f>$B14 * IFERROR(VLOOKUP("transport|PM25|Minor restricted activity days", US_national_yearly!$D:$AM, 20, FALSE) / VLOOKUP("transport|PM25|Minor restricted activity days", US_national_yearly!$D:$AM, 10, FALSE), 1)</f>
        <v>5.6318768159020447</v>
      </c>
      <c r="M14" s="7">
        <f>$B14 * IFERROR(VLOOKUP("transport|PM25|Minor restricted activity days", US_national_yearly!$D:$AM, 21, FALSE) / VLOOKUP("transport|PM25|Minor restricted activity days", US_national_yearly!$D:$AM, 10, FALSE), 1)</f>
        <v>5.665182852124115</v>
      </c>
      <c r="N14" s="7">
        <f>$B14 * IFERROR(VLOOKUP("transport|PM25|Minor restricted activity days", US_national_yearly!$D:$AM, 22, FALSE) / VLOOKUP("transport|PM25|Minor restricted activity days", US_national_yearly!$D:$AM, 10, FALSE), 1)</f>
        <v>5.7105523046785942</v>
      </c>
      <c r="O14" s="7">
        <f>$B14 * IFERROR(VLOOKUP("transport|PM25|Minor restricted activity days", US_national_yearly!$D:$AM, 23, FALSE) / VLOOKUP("transport|PM25|Minor restricted activity days", US_national_yearly!$D:$AM, 10, FALSE), 1)</f>
        <v>5.7559217572330725</v>
      </c>
      <c r="P14" s="7">
        <f>$B14 * IFERROR(VLOOKUP("transport|PM25|Minor restricted activity days", US_national_yearly!$D:$AM, 24, FALSE) / VLOOKUP("transport|PM25|Minor restricted activity days", US_national_yearly!$D:$AM, 10, FALSE), 1)</f>
        <v>5.8012912097875518</v>
      </c>
      <c r="Q14" s="7">
        <f>$B14 * IFERROR(VLOOKUP("transport|PM25|Minor restricted activity days", US_national_yearly!$D:$AM, 25, FALSE) / VLOOKUP("transport|PM25|Minor restricted activity days", US_national_yearly!$D:$AM, 10, FALSE), 1)</f>
        <v>5.8466606623420301</v>
      </c>
      <c r="R14" s="7">
        <f>$B14 * IFERROR(VLOOKUP("transport|PM25|Minor restricted activity days", US_national_yearly!$D:$AM, 26, FALSE) / VLOOKUP("transport|PM25|Minor restricted activity days", US_national_yearly!$D:$AM, 10, FALSE), 1)</f>
        <v>5.8920301148965084</v>
      </c>
      <c r="S14" s="7">
        <f>$B14 * IFERROR(VLOOKUP("transport|PM25|Minor restricted activity days", US_national_yearly!$D:$AM, 27, FALSE) / VLOOKUP("transport|PM25|Minor restricted activity days", US_national_yearly!$D:$AM, 10, FALSE), 1)</f>
        <v>5.9377120120040949</v>
      </c>
      <c r="T14" s="7">
        <f>$B14 * IFERROR(VLOOKUP("transport|PM25|Minor restricted activity days", US_national_yearly!$D:$AM, 28, FALSE) / VLOOKUP("transport|PM25|Minor restricted activity days", US_national_yearly!$D:$AM, 10, FALSE), 1)</f>
        <v>5.9833939091116815</v>
      </c>
      <c r="U14" s="7">
        <f>$B14 * IFERROR(VLOOKUP("transport|PM25|Minor restricted activity days", US_national_yearly!$D:$AM, 29, FALSE) / VLOOKUP("transport|PM25|Minor restricted activity days", US_national_yearly!$D:$AM, 10, FALSE), 1)</f>
        <v>6.029075806219268</v>
      </c>
      <c r="V14" s="7">
        <f>$B14 * IFERROR(VLOOKUP("transport|PM25|Minor restricted activity days", US_national_yearly!$D:$AM, 30, FALSE) / VLOOKUP("transport|PM25|Minor restricted activity days", US_national_yearly!$D:$AM, 10, FALSE), 1)</f>
        <v>6.0747577033268554</v>
      </c>
      <c r="W14" s="7">
        <f>$B14 * IFERROR(VLOOKUP("transport|PM25|Minor restricted activity days", US_national_yearly!$D:$AM, 31, FALSE) / VLOOKUP("transport|PM25|Minor restricted activity days", US_national_yearly!$D:$AM, 10, FALSE), 1)</f>
        <v>6.1204396004344419</v>
      </c>
      <c r="X14" s="7">
        <f>$B14 * IFERROR(VLOOKUP("transport|PM25|Minor restricted activity days", US_national_yearly!$D:$AM, 32, FALSE) / VLOOKUP("transport|PM25|Minor restricted activity days", US_national_yearly!$D:$AM, 10, FALSE), 1)</f>
        <v>6.1600960828101137</v>
      </c>
      <c r="Y14" s="7">
        <f>$B14 * IFERROR(VLOOKUP("transport|PM25|Minor restricted activity days", US_national_yearly!$D:$AM, 33, FALSE) / VLOOKUP("transport|PM25|Minor restricted activity days", US_national_yearly!$D:$AM, 10, FALSE), 1)</f>
        <v>6.1997525651857863</v>
      </c>
      <c r="Z14" s="7">
        <f>$B14 * IFERROR(VLOOKUP("transport|PM25|Minor restricted activity days", US_national_yearly!$D:$AM, 34, FALSE) / VLOOKUP("transport|PM25|Minor restricted activity days", US_national_yearly!$D:$AM, 10, FALSE), 1)</f>
        <v>6.239409047561459</v>
      </c>
      <c r="AA14" s="7">
        <f>$B14 * IFERROR(VLOOKUP("transport|PM25|Minor restricted activity days", US_national_yearly!$D:$AM, 35, FALSE) / VLOOKUP("transport|PM25|Minor restricted activity days", US_national_yearly!$D:$AM, 10, FALSE), 1)</f>
        <v>6.2790655299371307</v>
      </c>
      <c r="AB14" s="7">
        <f>$B14 * IFERROR(VLOOKUP("transport|PM25|Minor restricted activity days", US_national_yearly!$D:$AM, 36, FALSE) / VLOOKUP("transport|PM25|Minor restricted activity days", US_national_yearly!$D:$AM, 10, FALSE), 1)</f>
        <v>6.3187220123128025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0.91799591819400583</v>
      </c>
      <c r="C15" s="7">
        <f>$B15 * IFERROR(VLOOKUP("transport|PM25|Work loss days", US_national_yearly!$D:$AM, 11, FALSE) / VLOOKUP("transport|PM25|Work loss days", US_national_yearly!$D:$AM, 10, FALSE), 1)</f>
        <v>0.92084137490508733</v>
      </c>
      <c r="D15" s="7">
        <f>$B15 * IFERROR(VLOOKUP("transport|PM25|Work loss days", US_national_yearly!$D:$AM, 12, FALSE) / VLOOKUP("transport|PM25|Work loss days", US_national_yearly!$D:$AM, 10, FALSE), 1)</f>
        <v>0.92368683161616894</v>
      </c>
      <c r="E15" s="7">
        <f>$B15 * IFERROR(VLOOKUP("transport|PM25|Work loss days", US_national_yearly!$D:$AM, 13, FALSE) / VLOOKUP("transport|PM25|Work loss days", US_national_yearly!$D:$AM, 10, FALSE), 1)</f>
        <v>0.92653228832725043</v>
      </c>
      <c r="F15" s="7">
        <f>$B15 * IFERROR(VLOOKUP("transport|PM25|Work loss days", US_national_yearly!$D:$AM, 14, FALSE) / VLOOKUP("transport|PM25|Work loss days", US_national_yearly!$D:$AM, 10, FALSE), 1)</f>
        <v>0.92937774503833193</v>
      </c>
      <c r="G15" s="7">
        <f>$B15 * IFERROR(VLOOKUP("transport|PM25|Work loss days", US_national_yearly!$D:$AM, 15, FALSE) / VLOOKUP("transport|PM25|Work loss days", US_national_yearly!$D:$AM, 10, FALSE), 1)</f>
        <v>0.9331083203578816</v>
      </c>
      <c r="H15" s="7">
        <f>$B15 * IFERROR(VLOOKUP("transport|PM25|Work loss days", US_national_yearly!$D:$AM, 16, FALSE) / VLOOKUP("transport|PM25|Work loss days", US_national_yearly!$D:$AM, 10, FALSE), 1)</f>
        <v>0.93683889567743139</v>
      </c>
      <c r="I15" s="7">
        <f>$B15 * IFERROR(VLOOKUP("transport|PM25|Work loss days", US_national_yearly!$D:$AM, 17, FALSE) / VLOOKUP("transport|PM25|Work loss days", US_national_yearly!$D:$AM, 10, FALSE), 1)</f>
        <v>0.94233257814245119</v>
      </c>
      <c r="J15" s="7">
        <f>$B15 * IFERROR(VLOOKUP("transport|PM25|Work loss days", US_national_yearly!$D:$AM, 18, FALSE) / VLOOKUP("transport|PM25|Work loss days", US_national_yearly!$D:$AM, 10, FALSE), 1)</f>
        <v>0.94782626060747099</v>
      </c>
      <c r="K15" s="7">
        <f>$B15 * IFERROR(VLOOKUP("transport|PM25|Work loss days", US_national_yearly!$D:$AM, 19, FALSE) / VLOOKUP("transport|PM25|Work loss days", US_national_yearly!$D:$AM, 10, FALSE), 1)</f>
        <v>0.95331994307249079</v>
      </c>
      <c r="L15" s="7">
        <f>$B15 * IFERROR(VLOOKUP("transport|PM25|Work loss days", US_national_yearly!$D:$AM, 20, FALSE) / VLOOKUP("transport|PM25|Work loss days", US_national_yearly!$D:$AM, 10, FALSE), 1)</f>
        <v>0.95881362553751059</v>
      </c>
      <c r="M15" s="7">
        <f>$B15 * IFERROR(VLOOKUP("transport|PM25|Work loss days", US_national_yearly!$D:$AM, 21, FALSE) / VLOOKUP("transport|PM25|Work loss days", US_national_yearly!$D:$AM, 10, FALSE), 1)</f>
        <v>0.96430730800253039</v>
      </c>
      <c r="N15" s="7">
        <f>$B15 * IFERROR(VLOOKUP("transport|PM25|Work loss days", US_national_yearly!$D:$AM, 22, FALSE) / VLOOKUP("transport|PM25|Work loss days", US_national_yearly!$D:$AM, 10, FALSE), 1)</f>
        <v>0.97122152319499711</v>
      </c>
      <c r="O15" s="7">
        <f>$B15 * IFERROR(VLOOKUP("transport|PM25|Work loss days", US_national_yearly!$D:$AM, 23, FALSE) / VLOOKUP("transport|PM25|Work loss days", US_national_yearly!$D:$AM, 10, FALSE), 1)</f>
        <v>0.9781357383874637</v>
      </c>
      <c r="P15" s="7">
        <f>$B15 * IFERROR(VLOOKUP("transport|PM25|Work loss days", US_national_yearly!$D:$AM, 24, FALSE) / VLOOKUP("transport|PM25|Work loss days", US_national_yearly!$D:$AM, 10, FALSE), 1)</f>
        <v>0.98504995357993042</v>
      </c>
      <c r="Q15" s="7">
        <f>$B15 * IFERROR(VLOOKUP("transport|PM25|Work loss days", US_national_yearly!$D:$AM, 25, FALSE) / VLOOKUP("transport|PM25|Work loss days", US_national_yearly!$D:$AM, 10, FALSE), 1)</f>
        <v>0.9919641687723969</v>
      </c>
      <c r="R15" s="7">
        <f>$B15 * IFERROR(VLOOKUP("transport|PM25|Work loss days", US_national_yearly!$D:$AM, 26, FALSE) / VLOOKUP("transport|PM25|Work loss days", US_national_yearly!$D:$AM, 10, FALSE), 1)</f>
        <v>0.99887838396486361</v>
      </c>
      <c r="S15" s="7">
        <f>$B15 * IFERROR(VLOOKUP("transport|PM25|Work loss days", US_national_yearly!$D:$AM, 27, FALSE) / VLOOKUP("transport|PM25|Work loss days", US_national_yearly!$D:$AM, 10, FALSE), 1)</f>
        <v>1.0065258011594538</v>
      </c>
      <c r="T15" s="7">
        <f>$B15 * IFERROR(VLOOKUP("transport|PM25|Work loss days", US_national_yearly!$D:$AM, 28, FALSE) / VLOOKUP("transport|PM25|Work loss days", US_national_yearly!$D:$AM, 10, FALSE), 1)</f>
        <v>1.0141732183540439</v>
      </c>
      <c r="U15" s="7">
        <f>$B15 * IFERROR(VLOOKUP("transport|PM25|Work loss days", US_national_yearly!$D:$AM, 29, FALSE) / VLOOKUP("transport|PM25|Work loss days", US_national_yearly!$D:$AM, 10, FALSE), 1)</f>
        <v>1.0218206355486339</v>
      </c>
      <c r="V15" s="7">
        <f>$B15 * IFERROR(VLOOKUP("transport|PM25|Work loss days", US_national_yearly!$D:$AM, 30, FALSE) / VLOOKUP("transport|PM25|Work loss days", US_national_yearly!$D:$AM, 10, FALSE), 1)</f>
        <v>1.0294680527432243</v>
      </c>
      <c r="W15" s="7">
        <f>$B15 * IFERROR(VLOOKUP("transport|PM25|Work loss days", US_national_yearly!$D:$AM, 31, FALSE) / VLOOKUP("transport|PM25|Work loss days", US_national_yearly!$D:$AM, 10, FALSE), 1)</f>
        <v>1.0371154699378142</v>
      </c>
      <c r="X15" s="7">
        <f>$B15 * IFERROR(VLOOKUP("transport|PM25|Work loss days", US_national_yearly!$D:$AM, 32, FALSE) / VLOOKUP("transport|PM25|Work loss days", US_national_yearly!$D:$AM, 10, FALSE), 1)</f>
        <v>1.0439007915255349</v>
      </c>
      <c r="Y15" s="7">
        <f>$B15 * IFERROR(VLOOKUP("transport|PM25|Work loss days", US_national_yearly!$D:$AM, 33, FALSE) / VLOOKUP("transport|PM25|Work loss days", US_national_yearly!$D:$AM, 10, FALSE), 1)</f>
        <v>1.0506861131132557</v>
      </c>
      <c r="Z15" s="7">
        <f>$B15 * IFERROR(VLOOKUP("transport|PM25|Work loss days", US_national_yearly!$D:$AM, 34, FALSE) / VLOOKUP("transport|PM25|Work loss days", US_national_yearly!$D:$AM, 10, FALSE), 1)</f>
        <v>1.0574714347009766</v>
      </c>
      <c r="AA15" s="7">
        <f>$B15 * IFERROR(VLOOKUP("transport|PM25|Work loss days", US_national_yearly!$D:$AM, 35, FALSE) / VLOOKUP("transport|PM25|Work loss days", US_national_yearly!$D:$AM, 10, FALSE), 1)</f>
        <v>1.0642567562886975</v>
      </c>
      <c r="AB15" s="7">
        <f>$B15 * IFERROR(VLOOKUP("transport|PM25|Work loss days", US_national_yearly!$D:$AM, 36, FALSE) / VLOOKUP("transport|PM25|Work loss days", US_national_yearly!$D:$AM, 10, FALSE), 1)</f>
        <v>1.0710420778764183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2.138828295033761E-3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2.2027379759303922E-3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2.2666476568270243E-3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2.3305573377236559E-3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2.394467018620288E-3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2.4556810769406361E-3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2.516895135260985E-3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2.5692487587230728E-3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2.62160238218516E-3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2.6739560056472469E-3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2.726309629109335E-3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2.7786632525714223E-3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2.8135686086366136E-3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2.8484739647018057E-3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2.8833793207669969E-3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2.9182846768321885E-3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2.9531900328973802E-3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2.9716582250572136E-3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2.990126417217047E-3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3.0085946093768795E-3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3.0270628015367129E-3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3.0455309936965459E-3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3.0579640235885936E-3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3.0703970534806408E-3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3.0828300833726885E-3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3.0952631132647361E-3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3.1076961431567838E-3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5.591084990128381E-4</v>
      </c>
      <c r="C2" s="7">
        <f>$B2 * IFERROR(VLOOKUP("transport|NOx|Premature mortality", US_national_yearly!$D:$AM, 11, FALSE) / VLOOKUP("transport|NOx|Premature mortality", US_national_yearly!$D:$AM, 10, FALSE), 1)</f>
        <v>5.6732085782836635E-4</v>
      </c>
      <c r="D2" s="7">
        <f>$B2 * IFERROR(VLOOKUP("transport|NOx|Premature mortality", US_national_yearly!$D:$AM, 12, FALSE) / VLOOKUP("transport|NOx|Premature mortality", US_national_yearly!$D:$AM, 10, FALSE), 1)</f>
        <v>5.7553321664389459E-4</v>
      </c>
      <c r="E2" s="7">
        <f>$B2 * IFERROR(VLOOKUP("transport|NOx|Premature mortality", US_national_yearly!$D:$AM, 13, FALSE) / VLOOKUP("transport|NOx|Premature mortality", US_national_yearly!$D:$AM, 10, FALSE), 1)</f>
        <v>5.8374557545942283E-4</v>
      </c>
      <c r="F2" s="7">
        <f>$B2 * IFERROR(VLOOKUP("transport|NOx|Premature mortality", US_national_yearly!$D:$AM, 14, FALSE) / VLOOKUP("transport|NOx|Premature mortality", US_national_yearly!$D:$AM, 10, FALSE), 1)</f>
        <v>5.9195793427495107E-4</v>
      </c>
      <c r="G2" s="7">
        <f>$B2 * IFERROR(VLOOKUP("transport|NOx|Premature mortality", US_national_yearly!$D:$AM, 15, FALSE) / VLOOKUP("transport|NOx|Premature mortality", US_national_yearly!$D:$AM, 10, FALSE), 1)</f>
        <v>6.067092723080384E-4</v>
      </c>
      <c r="H2" s="7">
        <f>$B2 * IFERROR(VLOOKUP("transport|NOx|Premature mortality", US_national_yearly!$D:$AM, 16, FALSE) / VLOOKUP("transport|NOx|Premature mortality", US_national_yearly!$D:$AM, 10, FALSE), 1)</f>
        <v>6.2146061034112595E-4</v>
      </c>
      <c r="I2" s="7">
        <f>$B2 * IFERROR(VLOOKUP("transport|NOx|Premature mortality", US_national_yearly!$D:$AM, 17, FALSE) / VLOOKUP("transport|NOx|Premature mortality", US_national_yearly!$D:$AM, 10, FALSE), 1)</f>
        <v>6.3098287885423069E-4</v>
      </c>
      <c r="J2" s="7">
        <f>$B2 * IFERROR(VLOOKUP("transport|NOx|Premature mortality", US_national_yearly!$D:$AM, 18, FALSE) / VLOOKUP("transport|NOx|Premature mortality", US_national_yearly!$D:$AM, 10, FALSE), 1)</f>
        <v>6.4050514736733555E-4</v>
      </c>
      <c r="K2" s="7">
        <f>$B2 * IFERROR(VLOOKUP("transport|NOx|Premature mortality", US_national_yearly!$D:$AM, 19, FALSE) / VLOOKUP("transport|NOx|Premature mortality", US_national_yearly!$D:$AM, 10, FALSE), 1)</f>
        <v>6.5002741588044029E-4</v>
      </c>
      <c r="L2" s="7">
        <f>$B2 * IFERROR(VLOOKUP("transport|NOx|Premature mortality", US_national_yearly!$D:$AM, 20, FALSE) / VLOOKUP("transport|NOx|Premature mortality", US_national_yearly!$D:$AM, 10, FALSE), 1)</f>
        <v>6.5954968439354503E-4</v>
      </c>
      <c r="M2" s="7">
        <f>$B2 * IFERROR(VLOOKUP("transport|NOx|Premature mortality", US_national_yearly!$D:$AM, 21, FALSE) / VLOOKUP("transport|NOx|Premature mortality", US_national_yearly!$D:$AM, 10, FALSE), 1)</f>
        <v>6.6907195290664989E-4</v>
      </c>
      <c r="N2" s="7">
        <f>$B2 * IFERROR(VLOOKUP("transport|NOx|Premature mortality", US_national_yearly!$D:$AM, 22, FALSE) / VLOOKUP("transport|NOx|Premature mortality", US_national_yearly!$D:$AM, 10, FALSE), 1)</f>
        <v>6.7612601240292297E-4</v>
      </c>
      <c r="O2" s="7">
        <f>$B2 * IFERROR(VLOOKUP("transport|NOx|Premature mortality", US_national_yearly!$D:$AM, 23, FALSE) / VLOOKUP("transport|NOx|Premature mortality", US_national_yearly!$D:$AM, 10, FALSE), 1)</f>
        <v>6.8318007189919594E-4</v>
      </c>
      <c r="P2" s="7">
        <f>$B2 * IFERROR(VLOOKUP("transport|NOx|Premature mortality", US_national_yearly!$D:$AM, 24, FALSE) / VLOOKUP("transport|NOx|Premature mortality", US_national_yearly!$D:$AM, 10, FALSE), 1)</f>
        <v>6.9023413139546901E-4</v>
      </c>
      <c r="Q2" s="7">
        <f>$B2 * IFERROR(VLOOKUP("transport|NOx|Premature mortality", US_national_yearly!$D:$AM, 25, FALSE) / VLOOKUP("transport|NOx|Premature mortality", US_national_yearly!$D:$AM, 10, FALSE), 1)</f>
        <v>6.972881908917422E-4</v>
      </c>
      <c r="R2" s="7">
        <f>$B2 * IFERROR(VLOOKUP("transport|NOx|Premature mortality", US_national_yearly!$D:$AM, 26, FALSE) / VLOOKUP("transport|NOx|Premature mortality", US_national_yearly!$D:$AM, 10, FALSE), 1)</f>
        <v>7.0434225038801528E-4</v>
      </c>
      <c r="S2" s="7">
        <f>$B2 * IFERROR(VLOOKUP("transport|NOx|Premature mortality", US_national_yearly!$D:$AM, 27, FALSE) / VLOOKUP("transport|NOx|Premature mortality", US_national_yearly!$D:$AM, 10, FALSE), 1)</f>
        <v>7.0754839146250652E-4</v>
      </c>
      <c r="T2" s="7">
        <f>$B2 * IFERROR(VLOOKUP("transport|NOx|Premature mortality", US_national_yearly!$D:$AM, 28, FALSE) / VLOOKUP("transport|NOx|Premature mortality", US_national_yearly!$D:$AM, 10, FALSE), 1)</f>
        <v>7.1075453253699786E-4</v>
      </c>
      <c r="U2" s="7">
        <f>$B2 * IFERROR(VLOOKUP("transport|NOx|Premature mortality", US_national_yearly!$D:$AM, 29, FALSE) / VLOOKUP("transport|NOx|Premature mortality", US_national_yearly!$D:$AM, 10, FALSE), 1)</f>
        <v>7.139606736114891E-4</v>
      </c>
      <c r="V2" s="7">
        <f>$B2 * IFERROR(VLOOKUP("transport|NOx|Premature mortality", US_national_yearly!$D:$AM, 30, FALSE) / VLOOKUP("transport|NOx|Premature mortality", US_national_yearly!$D:$AM, 10, FALSE), 1)</f>
        <v>7.1716681468598034E-4</v>
      </c>
      <c r="W2" s="7">
        <f>$B2 * IFERROR(VLOOKUP("transport|NOx|Premature mortality", US_national_yearly!$D:$AM, 31, FALSE) / VLOOKUP("transport|NOx|Premature mortality", US_national_yearly!$D:$AM, 10, FALSE), 1)</f>
        <v>7.2037295576047168E-4</v>
      </c>
      <c r="X2" s="7">
        <f>$B2 * IFERROR(VLOOKUP("transport|NOx|Premature mortality", US_national_yearly!$D:$AM, 32, FALSE) / VLOOKUP("transport|NOx|Premature mortality", US_national_yearly!$D:$AM, 10, FALSE), 1)</f>
        <v>7.2048401464695246E-4</v>
      </c>
      <c r="Y2" s="7">
        <f>$B2 * IFERROR(VLOOKUP("transport|NOx|Premature mortality", US_national_yearly!$D:$AM, 33, FALSE) / VLOOKUP("transport|NOx|Premature mortality", US_national_yearly!$D:$AM, 10, FALSE), 1)</f>
        <v>7.2059507353343312E-4</v>
      </c>
      <c r="Z2" s="7">
        <f>$B2 * IFERROR(VLOOKUP("transport|NOx|Premature mortality", US_national_yearly!$D:$AM, 34, FALSE) / VLOOKUP("transport|NOx|Premature mortality", US_national_yearly!$D:$AM, 10, FALSE), 1)</f>
        <v>7.2070613241991368E-4</v>
      </c>
      <c r="AA2" s="7">
        <f>$B2 * IFERROR(VLOOKUP("transport|NOx|Premature mortality", US_national_yearly!$D:$AM, 35, FALSE) / VLOOKUP("transport|NOx|Premature mortality", US_national_yearly!$D:$AM, 10, FALSE), 1)</f>
        <v>7.2081719130639445E-4</v>
      </c>
      <c r="AB2" s="7">
        <f>$B2 * IFERROR(VLOOKUP("transport|NOx|Premature mortality", US_national_yearly!$D:$AM, 36, FALSE) / VLOOKUP("transport|NOx|Premature mortality", US_national_yearly!$D:$AM, 10, FALSE), 1)</f>
        <v>7.2092825019287523E-4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1.4203678779869774E-6</v>
      </c>
      <c r="C3" s="7">
        <f>$B3 * IFERROR(VLOOKUP("transport|NOx|Infant mortality", US_national_yearly!$D:$AM, 11, FALSE) / VLOOKUP("transport|NOx|Infant mortality", US_national_yearly!$D:$AM, 10, FALSE), 1)</f>
        <v>1.4068352546209842E-6</v>
      </c>
      <c r="D3" s="7">
        <f>$B3 * IFERROR(VLOOKUP("transport|NOx|Infant mortality", US_national_yearly!$D:$AM, 12, FALSE) / VLOOKUP("transport|NOx|Infant mortality", US_national_yearly!$D:$AM, 10, FALSE), 1)</f>
        <v>1.393302631254991E-6</v>
      </c>
      <c r="E3" s="7">
        <f>$B3 * IFERROR(VLOOKUP("transport|NOx|Infant mortality", US_national_yearly!$D:$AM, 13, FALSE) / VLOOKUP("transport|NOx|Infant mortality", US_national_yearly!$D:$AM, 10, FALSE), 1)</f>
        <v>1.379770007888998E-6</v>
      </c>
      <c r="F3" s="7">
        <f>$B3 * IFERROR(VLOOKUP("transport|NOx|Infant mortality", US_national_yearly!$D:$AM, 14, FALSE) / VLOOKUP("transport|NOx|Infant mortality", US_national_yearly!$D:$AM, 10, FALSE), 1)</f>
        <v>1.3662373845230048E-6</v>
      </c>
      <c r="G3" s="7">
        <f>$B3 * IFERROR(VLOOKUP("transport|NOx|Infant mortality", US_national_yearly!$D:$AM, 15, FALSE) / VLOOKUP("transport|NOx|Infant mortality", US_national_yearly!$D:$AM, 10, FALSE), 1)</f>
        <v>9.069758419909433E-7</v>
      </c>
      <c r="H3" s="7">
        <f>$B3 * IFERROR(VLOOKUP("transport|NOx|Infant mortality", US_national_yearly!$D:$AM, 16, FALSE) / VLOOKUP("transport|NOx|Infant mortality", US_national_yearly!$D:$AM, 10, FALSE), 1)</f>
        <v>4.4771429945888196E-7</v>
      </c>
      <c r="I3" s="7">
        <f>$B3 * IFERROR(VLOOKUP("transport|NOx|Infant mortality", US_national_yearly!$D:$AM, 17, FALSE) / VLOOKUP("transport|NOx|Infant mortality", US_national_yearly!$D:$AM, 10, FALSE), 1)</f>
        <v>4.4454853188235259E-7</v>
      </c>
      <c r="J3" s="7">
        <f>$B3 * IFERROR(VLOOKUP("transport|NOx|Infant mortality", US_national_yearly!$D:$AM, 18, FALSE) / VLOOKUP("transport|NOx|Infant mortality", US_national_yearly!$D:$AM, 10, FALSE), 1)</f>
        <v>4.4138276430582312E-7</v>
      </c>
      <c r="K3" s="7">
        <f>$B3 * IFERROR(VLOOKUP("transport|NOx|Infant mortality", US_national_yearly!$D:$AM, 19, FALSE) / VLOOKUP("transport|NOx|Infant mortality", US_national_yearly!$D:$AM, 10, FALSE), 1)</f>
        <v>4.3821699672929375E-7</v>
      </c>
      <c r="L3" s="7">
        <f>$B3 * IFERROR(VLOOKUP("transport|NOx|Infant mortality", US_national_yearly!$D:$AM, 20, FALSE) / VLOOKUP("transport|NOx|Infant mortality", US_national_yearly!$D:$AM, 10, FALSE), 1)</f>
        <v>4.3505122915276438E-7</v>
      </c>
      <c r="M3" s="7">
        <f>$B3 * IFERROR(VLOOKUP("transport|NOx|Infant mortality", US_national_yearly!$D:$AM, 21, FALSE) / VLOOKUP("transport|NOx|Infant mortality", US_national_yearly!$D:$AM, 10, FALSE), 1)</f>
        <v>4.3188546157623491E-7</v>
      </c>
      <c r="N3" s="7">
        <f>$B3 * IFERROR(VLOOKUP("transport|NOx|Infant mortality", US_national_yearly!$D:$AM, 22, FALSE) / VLOOKUP("transport|NOx|Infant mortality", US_national_yearly!$D:$AM, 10, FALSE), 1)</f>
        <v>4.2978415742754281E-7</v>
      </c>
      <c r="O3" s="7">
        <f>$B3 * IFERROR(VLOOKUP("transport|NOx|Infant mortality", US_national_yearly!$D:$AM, 23, FALSE) / VLOOKUP("transport|NOx|Infant mortality", US_national_yearly!$D:$AM, 10, FALSE), 1)</f>
        <v>4.2768285327885071E-7</v>
      </c>
      <c r="P3" s="7">
        <f>$B3 * IFERROR(VLOOKUP("transport|NOx|Infant mortality", US_national_yearly!$D:$AM, 24, FALSE) / VLOOKUP("transport|NOx|Infant mortality", US_national_yearly!$D:$AM, 10, FALSE), 1)</f>
        <v>4.2558154913015867E-7</v>
      </c>
      <c r="Q3" s="7">
        <f>$B3 * IFERROR(VLOOKUP("transport|NOx|Infant mortality", US_national_yearly!$D:$AM, 25, FALSE) / VLOOKUP("transport|NOx|Infant mortality", US_national_yearly!$D:$AM, 10, FALSE), 1)</f>
        <v>4.2348024498146657E-7</v>
      </c>
      <c r="R3" s="7">
        <f>$B3 * IFERROR(VLOOKUP("transport|NOx|Infant mortality", US_national_yearly!$D:$AM, 26, FALSE) / VLOOKUP("transport|NOx|Infant mortality", US_national_yearly!$D:$AM, 10, FALSE), 1)</f>
        <v>4.2137894083277447E-7</v>
      </c>
      <c r="S3" s="7">
        <f>$B3 * IFERROR(VLOOKUP("transport|NOx|Infant mortality", US_national_yearly!$D:$AM, 27, FALSE) / VLOOKUP("transport|NOx|Infant mortality", US_national_yearly!$D:$AM, 10, FALSE), 1)</f>
        <v>4.1885283908862177E-7</v>
      </c>
      <c r="T3" s="7">
        <f>$B3 * IFERROR(VLOOKUP("transport|NOx|Infant mortality", US_national_yearly!$D:$AM, 28, FALSE) / VLOOKUP("transport|NOx|Infant mortality", US_national_yearly!$D:$AM, 10, FALSE), 1)</f>
        <v>4.1632673734446907E-7</v>
      </c>
      <c r="U3" s="7">
        <f>$B3 * IFERROR(VLOOKUP("transport|NOx|Infant mortality", US_national_yearly!$D:$AM, 29, FALSE) / VLOOKUP("transport|NOx|Infant mortality", US_national_yearly!$D:$AM, 10, FALSE), 1)</f>
        <v>4.1380063560031638E-7</v>
      </c>
      <c r="V3" s="7">
        <f>$B3 * IFERROR(VLOOKUP("transport|NOx|Infant mortality", US_national_yearly!$D:$AM, 30, FALSE) / VLOOKUP("transport|NOx|Infant mortality", US_national_yearly!$D:$AM, 10, FALSE), 1)</f>
        <v>4.1127453385616373E-7</v>
      </c>
      <c r="W3" s="7">
        <f>$B3 * IFERROR(VLOOKUP("transport|NOx|Infant mortality", US_national_yearly!$D:$AM, 31, FALSE) / VLOOKUP("transport|NOx|Infant mortality", US_national_yearly!$D:$AM, 10, FALSE), 1)</f>
        <v>4.0874843211201104E-7</v>
      </c>
      <c r="X3" s="7">
        <f>$B3 * IFERROR(VLOOKUP("transport|NOx|Infant mortality", US_national_yearly!$D:$AM, 32, FALSE) / VLOOKUP("transport|NOx|Infant mortality", US_national_yearly!$D:$AM, 10, FALSE), 1)</f>
        <v>4.060731682076588E-7</v>
      </c>
      <c r="Y3" s="7">
        <f>$B3 * IFERROR(VLOOKUP("transport|NOx|Infant mortality", US_national_yearly!$D:$AM, 33, FALSE) / VLOOKUP("transport|NOx|Infant mortality", US_national_yearly!$D:$AM, 10, FALSE), 1)</f>
        <v>4.033979043033065E-7</v>
      </c>
      <c r="Z3" s="7">
        <f>$B3 * IFERROR(VLOOKUP("transport|NOx|Infant mortality", US_national_yearly!$D:$AM, 34, FALSE) / VLOOKUP("transport|NOx|Infant mortality", US_national_yearly!$D:$AM, 10, FALSE), 1)</f>
        <v>4.0072264039895421E-7</v>
      </c>
      <c r="AA3" s="7">
        <f>$B3 * IFERROR(VLOOKUP("transport|NOx|Infant mortality", US_national_yearly!$D:$AM, 35, FALSE) / VLOOKUP("transport|NOx|Infant mortality", US_national_yearly!$D:$AM, 10, FALSE), 1)</f>
        <v>3.9804737649460192E-7</v>
      </c>
      <c r="AB3" s="7">
        <f>$B3 * IFERROR(VLOOKUP("transport|NOx|Infant mortality", US_national_yearly!$D:$AM, 36, FALSE) / VLOOKUP("transport|NOx|Infant mortality", US_national_yearly!$D:$AM, 10, FALSE), 1)</f>
        <v>3.9537211259024957E-7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1.3442379724995916E-3</v>
      </c>
      <c r="C6" s="7">
        <f>$B6 * IFERROR(VLOOKUP("transport|NOx|Asthma symptoms cough", US_national_yearly!$D:$AM, 11, FALSE) / VLOOKUP("transport|NOx|Asthma symptoms cough", US_national_yearly!$D:$AM, 10, FALSE), 1)</f>
        <v>1.3626159033257492E-3</v>
      </c>
      <c r="D6" s="7">
        <f>$B6 * IFERROR(VLOOKUP("transport|NOx|Asthma symptoms cough", US_national_yearly!$D:$AM, 12, FALSE) / VLOOKUP("transport|NOx|Asthma symptoms cough", US_national_yearly!$D:$AM, 10, FALSE), 1)</f>
        <v>1.3809938341519069E-3</v>
      </c>
      <c r="E6" s="7">
        <f>$B6 * IFERROR(VLOOKUP("transport|NOx|Asthma symptoms cough", US_national_yearly!$D:$AM, 13, FALSE) / VLOOKUP("transport|NOx|Asthma symptoms cough", US_national_yearly!$D:$AM, 10, FALSE), 1)</f>
        <v>1.3993717649780643E-3</v>
      </c>
      <c r="F6" s="7">
        <f>$B6 * IFERROR(VLOOKUP("transport|NOx|Asthma symptoms cough", US_national_yearly!$D:$AM, 14, FALSE) / VLOOKUP("transport|NOx|Asthma symptoms cough", US_national_yearly!$D:$AM, 10, FALSE), 1)</f>
        <v>1.417749695804222E-3</v>
      </c>
      <c r="G6" s="7">
        <f>$B6 * IFERROR(VLOOKUP("transport|NOx|Asthma symptoms cough", US_national_yearly!$D:$AM, 15, FALSE) / VLOOKUP("transport|NOx|Asthma symptoms cough", US_national_yearly!$D:$AM, 10, FALSE), 1)</f>
        <v>1.4324219054265785E-3</v>
      </c>
      <c r="H6" s="7">
        <f>$B6 * IFERROR(VLOOKUP("transport|NOx|Asthma symptoms cough", US_national_yearly!$D:$AM, 16, FALSE) / VLOOKUP("transport|NOx|Asthma symptoms cough", US_national_yearly!$D:$AM, 10, FALSE), 1)</f>
        <v>1.4470941150489353E-3</v>
      </c>
      <c r="I6" s="7">
        <f>$B6 * IFERROR(VLOOKUP("transport|NOx|Asthma symptoms cough", US_national_yearly!$D:$AM, 17, FALSE) / VLOOKUP("transport|NOx|Asthma symptoms cough", US_national_yearly!$D:$AM, 10, FALSE), 1)</f>
        <v>1.4521440798506906E-3</v>
      </c>
      <c r="J6" s="7">
        <f>$B6 * IFERROR(VLOOKUP("transport|NOx|Asthma symptoms cough", US_national_yearly!$D:$AM, 18, FALSE) / VLOOKUP("transport|NOx|Asthma symptoms cough", US_national_yearly!$D:$AM, 10, FALSE), 1)</f>
        <v>1.457194044652446E-3</v>
      </c>
      <c r="K6" s="7">
        <f>$B6 * IFERROR(VLOOKUP("transport|NOx|Asthma symptoms cough", US_national_yearly!$D:$AM, 19, FALSE) / VLOOKUP("transport|NOx|Asthma symptoms cough", US_national_yearly!$D:$AM, 10, FALSE), 1)</f>
        <v>1.4622440094542012E-3</v>
      </c>
      <c r="L6" s="7">
        <f>$B6 * IFERROR(VLOOKUP("transport|NOx|Asthma symptoms cough", US_national_yearly!$D:$AM, 20, FALSE) / VLOOKUP("transport|NOx|Asthma symptoms cough", US_national_yearly!$D:$AM, 10, FALSE), 1)</f>
        <v>1.4672939742559562E-3</v>
      </c>
      <c r="M6" s="7">
        <f>$B6 * IFERROR(VLOOKUP("transport|NOx|Asthma symptoms cough", US_national_yearly!$D:$AM, 21, FALSE) / VLOOKUP("transport|NOx|Asthma symptoms cough", US_national_yearly!$D:$AM, 10, FALSE), 1)</f>
        <v>1.4723439390577119E-3</v>
      </c>
      <c r="N6" s="7">
        <f>$B6 * IFERROR(VLOOKUP("transport|NOx|Asthma symptoms cough", US_national_yearly!$D:$AM, 22, FALSE) / VLOOKUP("transport|NOx|Asthma symptoms cough", US_national_yearly!$D:$AM, 10, FALSE), 1)</f>
        <v>1.4781997493024375E-3</v>
      </c>
      <c r="O6" s="7">
        <f>$B6 * IFERROR(VLOOKUP("transport|NOx|Asthma symptoms cough", US_national_yearly!$D:$AM, 23, FALSE) / VLOOKUP("transport|NOx|Asthma symptoms cough", US_national_yearly!$D:$AM, 10, FALSE), 1)</f>
        <v>1.4840555595471631E-3</v>
      </c>
      <c r="P6" s="7">
        <f>$B6 * IFERROR(VLOOKUP("transport|NOx|Asthma symptoms cough", US_national_yearly!$D:$AM, 24, FALSE) / VLOOKUP("transport|NOx|Asthma symptoms cough", US_national_yearly!$D:$AM, 10, FALSE), 1)</f>
        <v>1.4899113697918887E-3</v>
      </c>
      <c r="Q6" s="7">
        <f>$B6 * IFERROR(VLOOKUP("transport|NOx|Asthma symptoms cough", US_national_yearly!$D:$AM, 25, FALSE) / VLOOKUP("transport|NOx|Asthma symptoms cough", US_national_yearly!$D:$AM, 10, FALSE), 1)</f>
        <v>1.4957671800366148E-3</v>
      </c>
      <c r="R6" s="7">
        <f>$B6 * IFERROR(VLOOKUP("transport|NOx|Asthma symptoms cough", US_national_yearly!$D:$AM, 26, FALSE) / VLOOKUP("transport|NOx|Asthma symptoms cough", US_national_yearly!$D:$AM, 10, FALSE), 1)</f>
        <v>1.5016229902813404E-3</v>
      </c>
      <c r="S6" s="7">
        <f>$B6 * IFERROR(VLOOKUP("transport|NOx|Asthma symptoms cough", US_national_yearly!$D:$AM, 27, FALSE) / VLOOKUP("transport|NOx|Asthma symptoms cough", US_national_yearly!$D:$AM, 10, FALSE), 1)</f>
        <v>1.509272543522695E-3</v>
      </c>
      <c r="T6" s="7">
        <f>$B6 * IFERROR(VLOOKUP("transport|NOx|Asthma symptoms cough", US_national_yearly!$D:$AM, 28, FALSE) / VLOOKUP("transport|NOx|Asthma symptoms cough", US_national_yearly!$D:$AM, 10, FALSE), 1)</f>
        <v>1.5169220967640494E-3</v>
      </c>
      <c r="U6" s="7">
        <f>$B6 * IFERROR(VLOOKUP("transport|NOx|Asthma symptoms cough", US_national_yearly!$D:$AM, 29, FALSE) / VLOOKUP("transport|NOx|Asthma symptoms cough", US_national_yearly!$D:$AM, 10, FALSE), 1)</f>
        <v>1.5245716500054036E-3</v>
      </c>
      <c r="V6" s="7">
        <f>$B6 * IFERROR(VLOOKUP("transport|NOx|Asthma symptoms cough", US_national_yearly!$D:$AM, 30, FALSE) / VLOOKUP("transport|NOx|Asthma symptoms cough", US_national_yearly!$D:$AM, 10, FALSE), 1)</f>
        <v>1.5322212032467582E-3</v>
      </c>
      <c r="W6" s="7">
        <f>$B6 * IFERROR(VLOOKUP("transport|NOx|Asthma symptoms cough", US_national_yearly!$D:$AM, 31, FALSE) / VLOOKUP("transport|NOx|Asthma symptoms cough", US_national_yearly!$D:$AM, 10, FALSE), 1)</f>
        <v>1.5398707564881129E-3</v>
      </c>
      <c r="X6" s="7">
        <f>$B6 * IFERROR(VLOOKUP("transport|NOx|Asthma symptoms cough", US_national_yearly!$D:$AM, 32, FALSE) / VLOOKUP("transport|NOx|Asthma symptoms cough", US_national_yearly!$D:$AM, 10, FALSE), 1)</f>
        <v>1.5469782905795783E-3</v>
      </c>
      <c r="Y6" s="7">
        <f>$B6 * IFERROR(VLOOKUP("transport|NOx|Asthma symptoms cough", US_national_yearly!$D:$AM, 33, FALSE) / VLOOKUP("transport|NOx|Asthma symptoms cough", US_national_yearly!$D:$AM, 10, FALSE), 1)</f>
        <v>1.5540858246710434E-3</v>
      </c>
      <c r="Z6" s="7">
        <f>$B6 * IFERROR(VLOOKUP("transport|NOx|Asthma symptoms cough", US_national_yearly!$D:$AM, 34, FALSE) / VLOOKUP("transport|NOx|Asthma symptoms cough", US_national_yearly!$D:$AM, 10, FALSE), 1)</f>
        <v>1.5611933587625088E-3</v>
      </c>
      <c r="AA6" s="7">
        <f>$B6 * IFERROR(VLOOKUP("transport|NOx|Asthma symptoms cough", US_national_yearly!$D:$AM, 35, FALSE) / VLOOKUP("transport|NOx|Asthma symptoms cough", US_national_yearly!$D:$AM, 10, FALSE), 1)</f>
        <v>1.5683008928539743E-3</v>
      </c>
      <c r="AB6" s="7">
        <f>$B6 * IFERROR(VLOOKUP("transport|NOx|Asthma symptoms cough", US_national_yearly!$D:$AM, 36, FALSE) / VLOOKUP("transport|NOx|Asthma symptoms cough", US_national_yearly!$D:$AM, 10, FALSE), 1)</f>
        <v>1.5754084269454401E-3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1.8101591360098698E-3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1.8349069708728011E-3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1.8596548057357321E-3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1.8844026405986636E-3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1.9091504754615949E-3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1.9289081633061982E-3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1.9486658511508016E-3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1.9554661648220643E-3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1.9622664784933273E-3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1.9690667921645902E-3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1.9758671058358532E-3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1.9826674195071161E-3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1.9905528896364301E-3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1.9984383597657445E-3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2.0063238298950585E-3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2.0142093000243728E-3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2.0220947701536868E-3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2.0323957056750646E-3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2.0426966411964428E-3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2.0529975767178202E-3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2.0632985122391975E-3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2.0735994477605753E-3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2.0831704969491906E-3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2.0927415461378064E-3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2.1023125953264221E-3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2.1118836445150379E-3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2.1214546937036532E-3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2.7658030273155013E-3</v>
      </c>
      <c r="C8" s="7">
        <f>$B8 * IFERROR(VLOOKUP("transport|NOx|Asthma symptoms wheeze", US_national_yearly!$D:$AM, 11, FALSE) / VLOOKUP("transport|NOx|Asthma symptoms wheeze", US_national_yearly!$D:$AM, 10, FALSE), 1)</f>
        <v>2.8036160766599979E-3</v>
      </c>
      <c r="D8" s="7">
        <f>$B8 * IFERROR(VLOOKUP("transport|NOx|Asthma symptoms wheeze", US_national_yearly!$D:$AM, 12, FALSE) / VLOOKUP("transport|NOx|Asthma symptoms wheeze", US_national_yearly!$D:$AM, 10, FALSE), 1)</f>
        <v>2.8414291260044958E-3</v>
      </c>
      <c r="E8" s="7">
        <f>$B8 * IFERROR(VLOOKUP("transport|NOx|Asthma symptoms wheeze", US_national_yearly!$D:$AM, 13, FALSE) / VLOOKUP("transport|NOx|Asthma symptoms wheeze", US_national_yearly!$D:$AM, 10, FALSE), 1)</f>
        <v>2.8792421753489924E-3</v>
      </c>
      <c r="F8" s="7">
        <f>$B8 * IFERROR(VLOOKUP("transport|NOx|Asthma symptoms wheeze", US_national_yearly!$D:$AM, 14, FALSE) / VLOOKUP("transport|NOx|Asthma symptoms wheeze", US_national_yearly!$D:$AM, 10, FALSE), 1)</f>
        <v>2.9170552246934891E-3</v>
      </c>
      <c r="G8" s="7">
        <f>$B8 * IFERROR(VLOOKUP("transport|NOx|Asthma symptoms wheeze", US_national_yearly!$D:$AM, 15, FALSE) / VLOOKUP("transport|NOx|Asthma symptoms wheeze", US_national_yearly!$D:$AM, 10, FALSE), 1)</f>
        <v>2.9472436606008999E-3</v>
      </c>
      <c r="H8" s="7">
        <f>$B8 * IFERROR(VLOOKUP("transport|NOx|Asthma symptoms wheeze", US_national_yearly!$D:$AM, 16, FALSE) / VLOOKUP("transport|NOx|Asthma symptoms wheeze", US_national_yearly!$D:$AM, 10, FALSE), 1)</f>
        <v>2.9774320965083104E-3</v>
      </c>
      <c r="I8" s="7">
        <f>$B8 * IFERROR(VLOOKUP("transport|NOx|Asthma symptoms wheeze", US_national_yearly!$D:$AM, 17, FALSE) / VLOOKUP("transport|NOx|Asthma symptoms wheeze", US_national_yearly!$D:$AM, 10, FALSE), 1)</f>
        <v>2.987822524619644E-3</v>
      </c>
      <c r="J8" s="7">
        <f>$B8 * IFERROR(VLOOKUP("transport|NOx|Asthma symptoms wheeze", US_national_yearly!$D:$AM, 18, FALSE) / VLOOKUP("transport|NOx|Asthma symptoms wheeze", US_national_yearly!$D:$AM, 10, FALSE), 1)</f>
        <v>2.998212952730978E-3</v>
      </c>
      <c r="K8" s="7">
        <f>$B8 * IFERROR(VLOOKUP("transport|NOx|Asthma symptoms wheeze", US_national_yearly!$D:$AM, 19, FALSE) / VLOOKUP("transport|NOx|Asthma symptoms wheeze", US_national_yearly!$D:$AM, 10, FALSE), 1)</f>
        <v>3.0086033808423107E-3</v>
      </c>
      <c r="L8" s="7">
        <f>$B8 * IFERROR(VLOOKUP("transport|NOx|Asthma symptoms wheeze", US_national_yearly!$D:$AM, 20, FALSE) / VLOOKUP("transport|NOx|Asthma symptoms wheeze", US_national_yearly!$D:$AM, 10, FALSE), 1)</f>
        <v>3.0189938089536447E-3</v>
      </c>
      <c r="M8" s="7">
        <f>$B8 * IFERROR(VLOOKUP("transport|NOx|Asthma symptoms wheeze", US_national_yearly!$D:$AM, 21, FALSE) / VLOOKUP("transport|NOx|Asthma symptoms wheeze", US_national_yearly!$D:$AM, 10, FALSE), 1)</f>
        <v>3.0293842370649783E-3</v>
      </c>
      <c r="N8" s="7">
        <f>$B8 * IFERROR(VLOOKUP("transport|NOx|Asthma symptoms wheeze", US_national_yearly!$D:$AM, 22, FALSE) / VLOOKUP("transport|NOx|Asthma symptoms wheeze", US_national_yearly!$D:$AM, 10, FALSE), 1)</f>
        <v>3.0414327122116882E-3</v>
      </c>
      <c r="O8" s="7">
        <f>$B8 * IFERROR(VLOOKUP("transport|NOx|Asthma symptoms wheeze", US_national_yearly!$D:$AM, 23, FALSE) / VLOOKUP("transport|NOx|Asthma symptoms wheeze", US_national_yearly!$D:$AM, 10, FALSE), 1)</f>
        <v>3.0534811873583986E-3</v>
      </c>
      <c r="P8" s="7">
        <f>$B8 * IFERROR(VLOOKUP("transport|NOx|Asthma symptoms wheeze", US_national_yearly!$D:$AM, 24, FALSE) / VLOOKUP("transport|NOx|Asthma symptoms wheeze", US_national_yearly!$D:$AM, 10, FALSE), 1)</f>
        <v>3.0655296625051085E-3</v>
      </c>
      <c r="Q8" s="7">
        <f>$B8 * IFERROR(VLOOKUP("transport|NOx|Asthma symptoms wheeze", US_national_yearly!$D:$AM, 25, FALSE) / VLOOKUP("transport|NOx|Asthma symptoms wheeze", US_national_yearly!$D:$AM, 10, FALSE), 1)</f>
        <v>3.0775781376518193E-3</v>
      </c>
      <c r="R8" s="7">
        <f>$B8 * IFERROR(VLOOKUP("transport|NOx|Asthma symptoms wheeze", US_national_yearly!$D:$AM, 26, FALSE) / VLOOKUP("transport|NOx|Asthma symptoms wheeze", US_national_yearly!$D:$AM, 10, FALSE), 1)</f>
        <v>3.0896266127985292E-3</v>
      </c>
      <c r="S8" s="7">
        <f>$B8 * IFERROR(VLOOKUP("transport|NOx|Asthma symptoms wheeze", US_national_yearly!$D:$AM, 27, FALSE) / VLOOKUP("transport|NOx|Asthma symptoms wheeze", US_national_yearly!$D:$AM, 10, FALSE), 1)</f>
        <v>3.105365758741708E-3</v>
      </c>
      <c r="T8" s="7">
        <f>$B8 * IFERROR(VLOOKUP("transport|NOx|Asthma symptoms wheeze", US_national_yearly!$D:$AM, 28, FALSE) / VLOOKUP("transport|NOx|Asthma symptoms wheeze", US_national_yearly!$D:$AM, 10, FALSE), 1)</f>
        <v>3.1211049046848873E-3</v>
      </c>
      <c r="U8" s="7">
        <f>$B8 * IFERROR(VLOOKUP("transport|NOx|Asthma symptoms wheeze", US_national_yearly!$D:$AM, 29, FALSE) / VLOOKUP("transport|NOx|Asthma symptoms wheeze", US_national_yearly!$D:$AM, 10, FALSE), 1)</f>
        <v>3.1368440506280662E-3</v>
      </c>
      <c r="V8" s="7">
        <f>$B8 * IFERROR(VLOOKUP("transport|NOx|Asthma symptoms wheeze", US_national_yearly!$D:$AM, 30, FALSE) / VLOOKUP("transport|NOx|Asthma symptoms wheeze", US_national_yearly!$D:$AM, 10, FALSE), 1)</f>
        <v>3.1525831965712459E-3</v>
      </c>
      <c r="W8" s="7">
        <f>$B8 * IFERROR(VLOOKUP("transport|NOx|Asthma symptoms wheeze", US_national_yearly!$D:$AM, 31, FALSE) / VLOOKUP("transport|NOx|Asthma symptoms wheeze", US_national_yearly!$D:$AM, 10, FALSE), 1)</f>
        <v>3.1683223425144243E-3</v>
      </c>
      <c r="X8" s="7">
        <f>$B8 * IFERROR(VLOOKUP("transport|NOx|Asthma symptoms wheeze", US_national_yearly!$D:$AM, 32, FALSE) / VLOOKUP("transport|NOx|Asthma symptoms wheeze", US_national_yearly!$D:$AM, 10, FALSE), 1)</f>
        <v>3.182946270578474E-3</v>
      </c>
      <c r="Y8" s="7">
        <f>$B8 * IFERROR(VLOOKUP("transport|NOx|Asthma symptoms wheeze", US_national_yearly!$D:$AM, 33, FALSE) / VLOOKUP("transport|NOx|Asthma symptoms wheeze", US_national_yearly!$D:$AM, 10, FALSE), 1)</f>
        <v>3.1975701986425233E-3</v>
      </c>
      <c r="Z8" s="7">
        <f>$B8 * IFERROR(VLOOKUP("transport|NOx|Asthma symptoms wheeze", US_national_yearly!$D:$AM, 34, FALSE) / VLOOKUP("transport|NOx|Asthma symptoms wheeze", US_national_yearly!$D:$AM, 10, FALSE), 1)</f>
        <v>3.212194126706573E-3</v>
      </c>
      <c r="AA8" s="7">
        <f>$B8 * IFERROR(VLOOKUP("transport|NOx|Asthma symptoms wheeze", US_national_yearly!$D:$AM, 35, FALSE) / VLOOKUP("transport|NOx|Asthma symptoms wheeze", US_national_yearly!$D:$AM, 10, FALSE), 1)</f>
        <v>3.2268180547706223E-3</v>
      </c>
      <c r="AB8" s="7">
        <f>$B8 * IFERROR(VLOOKUP("transport|NOx|Asthma symptoms wheeze", US_national_yearly!$D:$AM, 36, FALSE) / VLOOKUP("transport|NOx|Asthma symptoms wheeze", US_national_yearly!$D:$AM, 10, FALSE), 1)</f>
        <v>3.241441982834672E-3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4.7291594475944699E-5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4.8471267443398106E-5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4.9650940410851534E-5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5.0830613378304955E-5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5.2010286345758376E-5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5.3138093853932233E-5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5.4265901362106091E-5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5.5223433121921686E-5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5.6180964881737267E-5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5.7138496641552869E-5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5.8096028401368464E-5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5.9053560161184058E-5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5.969368738255818E-5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6.0333814603932323E-5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6.0973941825306452E-5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6.1614069046680601E-5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6.2254196268054737E-5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6.2597159087828466E-5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6.2940121907602208E-5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6.328308472737595E-5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6.3626047547149679E-5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6.3969010366923435E-5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6.4203380897714772E-5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6.4437751428506108E-5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6.4672121959297445E-5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6.4906492490088782E-5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6.5140863020880105E-5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2.6007896795793935E-4</v>
      </c>
      <c r="C13" s="7">
        <f>$B13 * IFERROR(VLOOKUP("transport|NOx|Non-fatal heart attacks", US_national_yearly!$D:$AM, 11, FALSE) / VLOOKUP("transport|NOx|Non-fatal heart attacks", US_national_yearly!$D:$AM, 10, FALSE), 1)</f>
        <v>2.6751439650766611E-4</v>
      </c>
      <c r="D13" s="7">
        <f>$B13 * IFERROR(VLOOKUP("transport|NOx|Non-fatal heart attacks", US_national_yearly!$D:$AM, 12, FALSE) / VLOOKUP("transport|NOx|Non-fatal heart attacks", US_national_yearly!$D:$AM, 10, FALSE), 1)</f>
        <v>2.7494982505739293E-4</v>
      </c>
      <c r="E13" s="7">
        <f>$B13 * IFERROR(VLOOKUP("transport|NOx|Non-fatal heart attacks", US_national_yearly!$D:$AM, 13, FALSE) / VLOOKUP("transport|NOx|Non-fatal heart attacks", US_national_yearly!$D:$AM, 10, FALSE), 1)</f>
        <v>2.8238525360711964E-4</v>
      </c>
      <c r="F13" s="7">
        <f>$B13 * IFERROR(VLOOKUP("transport|NOx|Non-fatal heart attacks", US_national_yearly!$D:$AM, 14, FALSE) / VLOOKUP("transport|NOx|Non-fatal heart attacks", US_national_yearly!$D:$AM, 10, FALSE), 1)</f>
        <v>2.898206821568464E-4</v>
      </c>
      <c r="G13" s="7">
        <f>$B13 * IFERROR(VLOOKUP("transport|NOx|Non-fatal heart attacks", US_national_yearly!$D:$AM, 15, FALSE) / VLOOKUP("transport|NOx|Non-fatal heart attacks", US_national_yearly!$D:$AM, 10, FALSE), 1)</f>
        <v>2.967690746831646E-4</v>
      </c>
      <c r="H13" s="7">
        <f>$B13 * IFERROR(VLOOKUP("transport|NOx|Non-fatal heart attacks", US_national_yearly!$D:$AM, 16, FALSE) / VLOOKUP("transport|NOx|Non-fatal heart attacks", US_national_yearly!$D:$AM, 10, FALSE), 1)</f>
        <v>3.037174672094828E-4</v>
      </c>
      <c r="I13" s="7">
        <f>$B13 * IFERROR(VLOOKUP("transport|NOx|Non-fatal heart attacks", US_national_yearly!$D:$AM, 17, FALSE) / VLOOKUP("transport|NOx|Non-fatal heart attacks", US_national_yearly!$D:$AM, 10, FALSE), 1)</f>
        <v>3.0919548043938029E-4</v>
      </c>
      <c r="J13" s="7">
        <f>$B13 * IFERROR(VLOOKUP("transport|NOx|Non-fatal heart attacks", US_national_yearly!$D:$AM, 18, FALSE) / VLOOKUP("transport|NOx|Non-fatal heart attacks", US_national_yearly!$D:$AM, 10, FALSE), 1)</f>
        <v>3.1467349366927783E-4</v>
      </c>
      <c r="K13" s="7">
        <f>$B13 * IFERROR(VLOOKUP("transport|NOx|Non-fatal heart attacks", US_national_yearly!$D:$AM, 19, FALSE) / VLOOKUP("transport|NOx|Non-fatal heart attacks", US_national_yearly!$D:$AM, 10, FALSE), 1)</f>
        <v>3.2015150689917516E-4</v>
      </c>
      <c r="L13" s="7">
        <f>$B13 * IFERROR(VLOOKUP("transport|NOx|Non-fatal heart attacks", US_national_yearly!$D:$AM, 20, FALSE) / VLOOKUP("transport|NOx|Non-fatal heart attacks", US_national_yearly!$D:$AM, 10, FALSE), 1)</f>
        <v>3.2562952012907286E-4</v>
      </c>
      <c r="M13" s="7">
        <f>$B13 * IFERROR(VLOOKUP("transport|NOx|Non-fatal heart attacks", US_national_yearly!$D:$AM, 21, FALSE) / VLOOKUP("transport|NOx|Non-fatal heart attacks", US_national_yearly!$D:$AM, 10, FALSE), 1)</f>
        <v>3.311075333589703E-4</v>
      </c>
      <c r="N13" s="7">
        <f>$B13 * IFERROR(VLOOKUP("transport|NOx|Non-fatal heart attacks", US_national_yearly!$D:$AM, 22, FALSE) / VLOOKUP("transport|NOx|Non-fatal heart attacks", US_national_yearly!$D:$AM, 10, FALSE), 1)</f>
        <v>3.3440327224747071E-4</v>
      </c>
      <c r="O13" s="7">
        <f>$B13 * IFERROR(VLOOKUP("transport|NOx|Non-fatal heart attacks", US_national_yearly!$D:$AM, 23, FALSE) / VLOOKUP("transport|NOx|Non-fatal heart attacks", US_national_yearly!$D:$AM, 10, FALSE), 1)</f>
        <v>3.3769901113597111E-4</v>
      </c>
      <c r="P13" s="7">
        <f>$B13 * IFERROR(VLOOKUP("transport|NOx|Non-fatal heart attacks", US_national_yearly!$D:$AM, 24, FALSE) / VLOOKUP("transport|NOx|Non-fatal heart attacks", US_national_yearly!$D:$AM, 10, FALSE), 1)</f>
        <v>3.4099475002447147E-4</v>
      </c>
      <c r="Q13" s="7">
        <f>$B13 * IFERROR(VLOOKUP("transport|NOx|Non-fatal heart attacks", US_national_yearly!$D:$AM, 25, FALSE) / VLOOKUP("transport|NOx|Non-fatal heart attacks", US_national_yearly!$D:$AM, 10, FALSE), 1)</f>
        <v>3.4429048891297193E-4</v>
      </c>
      <c r="R13" s="7">
        <f>$B13 * IFERROR(VLOOKUP("transport|NOx|Non-fatal heart attacks", US_national_yearly!$D:$AM, 26, FALSE) / VLOOKUP("transport|NOx|Non-fatal heart attacks", US_national_yearly!$D:$AM, 10, FALSE), 1)</f>
        <v>3.4758622780147234E-4</v>
      </c>
      <c r="S13" s="7">
        <f>$B13 * IFERROR(VLOOKUP("transport|NOx|Non-fatal heart attacks", US_national_yearly!$D:$AM, 27, FALSE) / VLOOKUP("transport|NOx|Non-fatal heart attacks", US_national_yearly!$D:$AM, 10, FALSE), 1)</f>
        <v>3.4908119775585233E-4</v>
      </c>
      <c r="T13" s="7">
        <f>$B13 * IFERROR(VLOOKUP("transport|NOx|Non-fatal heart attacks", US_national_yearly!$D:$AM, 28, FALSE) / VLOOKUP("transport|NOx|Non-fatal heart attacks", US_national_yearly!$D:$AM, 10, FALSE), 1)</f>
        <v>3.5057616771023232E-4</v>
      </c>
      <c r="U13" s="7">
        <f>$B13 * IFERROR(VLOOKUP("transport|NOx|Non-fatal heart attacks", US_national_yearly!$D:$AM, 29, FALSE) / VLOOKUP("transport|NOx|Non-fatal heart attacks", US_national_yearly!$D:$AM, 10, FALSE), 1)</f>
        <v>3.5207113766461226E-4</v>
      </c>
      <c r="V13" s="7">
        <f>$B13 * IFERROR(VLOOKUP("transport|NOx|Non-fatal heart attacks", US_national_yearly!$D:$AM, 30, FALSE) / VLOOKUP("transport|NOx|Non-fatal heart attacks", US_national_yearly!$D:$AM, 10, FALSE), 1)</f>
        <v>3.5356610761899226E-4</v>
      </c>
      <c r="W13" s="7">
        <f>$B13 * IFERROR(VLOOKUP("transport|NOx|Non-fatal heart attacks", US_national_yearly!$D:$AM, 31, FALSE) / VLOOKUP("transport|NOx|Non-fatal heart attacks", US_national_yearly!$D:$AM, 10, FALSE), 1)</f>
        <v>3.5506107757337225E-4</v>
      </c>
      <c r="X13" s="7">
        <f>$B13 * IFERROR(VLOOKUP("transport|NOx|Non-fatal heart attacks", US_national_yearly!$D:$AM, 32, FALSE) / VLOOKUP("transport|NOx|Non-fatal heart attacks", US_national_yearly!$D:$AM, 10, FALSE), 1)</f>
        <v>3.5606009515953271E-4</v>
      </c>
      <c r="Y13" s="7">
        <f>$B13 * IFERROR(VLOOKUP("transport|NOx|Non-fatal heart attacks", US_national_yearly!$D:$AM, 33, FALSE) / VLOOKUP("transport|NOx|Non-fatal heart attacks", US_national_yearly!$D:$AM, 10, FALSE), 1)</f>
        <v>3.5705911274569327E-4</v>
      </c>
      <c r="Z13" s="7">
        <f>$B13 * IFERROR(VLOOKUP("transport|NOx|Non-fatal heart attacks", US_national_yearly!$D:$AM, 34, FALSE) / VLOOKUP("transport|NOx|Non-fatal heart attacks", US_national_yearly!$D:$AM, 10, FALSE), 1)</f>
        <v>3.5805813033185367E-4</v>
      </c>
      <c r="AA13" s="7">
        <f>$B13 * IFERROR(VLOOKUP("transport|NOx|Non-fatal heart attacks", US_national_yearly!$D:$AM, 35, FALSE) / VLOOKUP("transport|NOx|Non-fatal heart attacks", US_national_yearly!$D:$AM, 10, FALSE), 1)</f>
        <v>3.5905714791801413E-4</v>
      </c>
      <c r="AB13" s="7">
        <f>$B13 * IFERROR(VLOOKUP("transport|NOx|Non-fatal heart attacks", US_national_yearly!$D:$AM, 36, FALSE) / VLOOKUP("transport|NOx|Non-fatal heart attacks", US_national_yearly!$D:$AM, 10, FALSE), 1)</f>
        <v>3.6005616550417464E-4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0.16556236983975678</v>
      </c>
      <c r="C14" s="7">
        <f>$B14 * IFERROR(VLOOKUP("transport|NOx|Minor restricted activity days", US_national_yearly!$D:$AM, 11, FALSE) / VLOOKUP("transport|NOx|Minor restricted activity days", US_national_yearly!$D:$AM, 10, FALSE), 1)</f>
        <v>0.16581620473716993</v>
      </c>
      <c r="D14" s="7">
        <f>$B14 * IFERROR(VLOOKUP("transport|NOx|Minor restricted activity days", US_national_yearly!$D:$AM, 12, FALSE) / VLOOKUP("transport|NOx|Minor restricted activity days", US_national_yearly!$D:$AM, 10, FALSE), 1)</f>
        <v>0.16607003963458314</v>
      </c>
      <c r="E14" s="7">
        <f>$B14 * IFERROR(VLOOKUP("transport|NOx|Minor restricted activity days", US_national_yearly!$D:$AM, 13, FALSE) / VLOOKUP("transport|NOx|Minor restricted activity days", US_national_yearly!$D:$AM, 10, FALSE), 1)</f>
        <v>0.16632387453199635</v>
      </c>
      <c r="F14" s="7">
        <f>$B14 * IFERROR(VLOOKUP("transport|NOx|Minor restricted activity days", US_national_yearly!$D:$AM, 14, FALSE) / VLOOKUP("transport|NOx|Minor restricted activity days", US_national_yearly!$D:$AM, 10, FALSE), 1)</f>
        <v>0.1665777094294095</v>
      </c>
      <c r="G14" s="7">
        <f>$B14 * IFERROR(VLOOKUP("transport|NOx|Minor restricted activity days", US_national_yearly!$D:$AM, 15, FALSE) / VLOOKUP("transport|NOx|Minor restricted activity days", US_national_yearly!$D:$AM, 10, FALSE), 1)</f>
        <v>0.1670360748362405</v>
      </c>
      <c r="H14" s="7">
        <f>$B14 * IFERROR(VLOOKUP("transport|NOx|Minor restricted activity days", US_national_yearly!$D:$AM, 16, FALSE) / VLOOKUP("transport|NOx|Minor restricted activity days", US_national_yearly!$D:$AM, 10, FALSE), 1)</f>
        <v>0.16749444024307145</v>
      </c>
      <c r="I14" s="7">
        <f>$B14 * IFERROR(VLOOKUP("transport|NOx|Minor restricted activity days", US_national_yearly!$D:$AM, 17, FALSE) / VLOOKUP("transport|NOx|Minor restricted activity days", US_national_yearly!$D:$AM, 10, FALSE), 1)</f>
        <v>0.16839098485318912</v>
      </c>
      <c r="J14" s="7">
        <f>$B14 * IFERROR(VLOOKUP("transport|NOx|Minor restricted activity days", US_national_yearly!$D:$AM, 18, FALSE) / VLOOKUP("transport|NOx|Minor restricted activity days", US_national_yearly!$D:$AM, 10, FALSE), 1)</f>
        <v>0.16928752946330675</v>
      </c>
      <c r="K14" s="7">
        <f>$B14 * IFERROR(VLOOKUP("transport|NOx|Minor restricted activity days", US_national_yearly!$D:$AM, 19, FALSE) / VLOOKUP("transport|NOx|Minor restricted activity days", US_national_yearly!$D:$AM, 10, FALSE), 1)</f>
        <v>0.1701840740734244</v>
      </c>
      <c r="L14" s="7">
        <f>$B14 * IFERROR(VLOOKUP("transport|NOx|Minor restricted activity days", US_national_yearly!$D:$AM, 20, FALSE) / VLOOKUP("transport|NOx|Minor restricted activity days", US_national_yearly!$D:$AM, 10, FALSE), 1)</f>
        <v>0.17108061868354202</v>
      </c>
      <c r="M14" s="7">
        <f>$B14 * IFERROR(VLOOKUP("transport|NOx|Minor restricted activity days", US_national_yearly!$D:$AM, 21, FALSE) / VLOOKUP("transport|NOx|Minor restricted activity days", US_national_yearly!$D:$AM, 10, FALSE), 1)</f>
        <v>0.1719771632936597</v>
      </c>
      <c r="N14" s="7">
        <f>$B14 * IFERROR(VLOOKUP("transport|NOx|Minor restricted activity days", US_national_yearly!$D:$AM, 22, FALSE) / VLOOKUP("transport|NOx|Minor restricted activity days", US_national_yearly!$D:$AM, 10, FALSE), 1)</f>
        <v>0.1732608118882609</v>
      </c>
      <c r="O14" s="7">
        <f>$B14 * IFERROR(VLOOKUP("transport|NOx|Minor restricted activity days", US_national_yearly!$D:$AM, 23, FALSE) / VLOOKUP("transport|NOx|Minor restricted activity days", US_national_yearly!$D:$AM, 10, FALSE), 1)</f>
        <v>0.17454446048286212</v>
      </c>
      <c r="P14" s="7">
        <f>$B14 * IFERROR(VLOOKUP("transport|NOx|Minor restricted activity days", US_national_yearly!$D:$AM, 24, FALSE) / VLOOKUP("transport|NOx|Minor restricted activity days", US_national_yearly!$D:$AM, 10, FALSE), 1)</f>
        <v>0.17582810907746335</v>
      </c>
      <c r="Q14" s="7">
        <f>$B14 * IFERROR(VLOOKUP("transport|NOx|Minor restricted activity days", US_national_yearly!$D:$AM, 25, FALSE) / VLOOKUP("transport|NOx|Minor restricted activity days", US_national_yearly!$D:$AM, 10, FALSE), 1)</f>
        <v>0.17711175767206455</v>
      </c>
      <c r="R14" s="7">
        <f>$B14 * IFERROR(VLOOKUP("transport|NOx|Minor restricted activity days", US_national_yearly!$D:$AM, 26, FALSE) / VLOOKUP("transport|NOx|Minor restricted activity days", US_national_yearly!$D:$AM, 10, FALSE), 1)</f>
        <v>0.17839540626666578</v>
      </c>
      <c r="S14" s="7">
        <f>$B14 * IFERROR(VLOOKUP("transport|NOx|Minor restricted activity days", US_national_yearly!$D:$AM, 27, FALSE) / VLOOKUP("transport|NOx|Minor restricted activity days", US_national_yearly!$D:$AM, 10, FALSE), 1)</f>
        <v>0.17967878497689743</v>
      </c>
      <c r="T14" s="7">
        <f>$B14 * IFERROR(VLOOKUP("transport|NOx|Minor restricted activity days", US_national_yearly!$D:$AM, 28, FALSE) / VLOOKUP("transport|NOx|Minor restricted activity days", US_national_yearly!$D:$AM, 10, FALSE), 1)</f>
        <v>0.18096216368712906</v>
      </c>
      <c r="U14" s="7">
        <f>$B14 * IFERROR(VLOOKUP("transport|NOx|Minor restricted activity days", US_national_yearly!$D:$AM, 29, FALSE) / VLOOKUP("transport|NOx|Minor restricted activity days", US_national_yearly!$D:$AM, 10, FALSE), 1)</f>
        <v>0.18224554239736071</v>
      </c>
      <c r="V14" s="7">
        <f>$B14 * IFERROR(VLOOKUP("transport|NOx|Minor restricted activity days", US_national_yearly!$D:$AM, 30, FALSE) / VLOOKUP("transport|NOx|Minor restricted activity days", US_national_yearly!$D:$AM, 10, FALSE), 1)</f>
        <v>0.18352892110759236</v>
      </c>
      <c r="W14" s="7">
        <f>$B14 * IFERROR(VLOOKUP("transport|NOx|Minor restricted activity days", US_national_yearly!$D:$AM, 31, FALSE) / VLOOKUP("transport|NOx|Minor restricted activity days", US_national_yearly!$D:$AM, 10, FALSE), 1)</f>
        <v>0.18481229981782396</v>
      </c>
      <c r="X14" s="7">
        <f>$B14 * IFERROR(VLOOKUP("transport|NOx|Minor restricted activity days", US_national_yearly!$D:$AM, 32, FALSE) / VLOOKUP("transport|NOx|Minor restricted activity days", US_national_yearly!$D:$AM, 10, FALSE), 1)</f>
        <v>0.18589734762594781</v>
      </c>
      <c r="Y14" s="7">
        <f>$B14 * IFERROR(VLOOKUP("transport|NOx|Minor restricted activity days", US_national_yearly!$D:$AM, 33, FALSE) / VLOOKUP("transport|NOx|Minor restricted activity days", US_national_yearly!$D:$AM, 10, FALSE), 1)</f>
        <v>0.18698239543407166</v>
      </c>
      <c r="Z14" s="7">
        <f>$B14 * IFERROR(VLOOKUP("transport|NOx|Minor restricted activity days", US_national_yearly!$D:$AM, 34, FALSE) / VLOOKUP("transport|NOx|Minor restricted activity days", US_national_yearly!$D:$AM, 10, FALSE), 1)</f>
        <v>0.18806744324219551</v>
      </c>
      <c r="AA14" s="7">
        <f>$B14 * IFERROR(VLOOKUP("transport|NOx|Minor restricted activity days", US_national_yearly!$D:$AM, 35, FALSE) / VLOOKUP("transport|NOx|Minor restricted activity days", US_national_yearly!$D:$AM, 10, FALSE), 1)</f>
        <v>0.18915249105031939</v>
      </c>
      <c r="AB14" s="7">
        <f>$B14 * IFERROR(VLOOKUP("transport|NOx|Minor restricted activity days", US_national_yearly!$D:$AM, 36, FALSE) / VLOOKUP("transport|NOx|Minor restricted activity days", US_national_yearly!$D:$AM, 10, FALSE), 1)</f>
        <v>0.19023753885844324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2.8090604269687278E-2</v>
      </c>
      <c r="C15" s="7">
        <f>$B15 * IFERROR(VLOOKUP("transport|NOx|Work loss days", US_national_yearly!$D:$AM, 11, FALSE) / VLOOKUP("transport|NOx|Work loss days", US_national_yearly!$D:$AM, 10, FALSE), 1)</f>
        <v>2.8153090307706147E-2</v>
      </c>
      <c r="D15" s="7">
        <f>$B15 * IFERROR(VLOOKUP("transport|NOx|Work loss days", US_national_yearly!$D:$AM, 12, FALSE) / VLOOKUP("transport|NOx|Work loss days", US_national_yearly!$D:$AM, 10, FALSE), 1)</f>
        <v>2.8215576345725021E-2</v>
      </c>
      <c r="E15" s="7">
        <f>$B15 * IFERROR(VLOOKUP("transport|NOx|Work loss days", US_national_yearly!$D:$AM, 13, FALSE) / VLOOKUP("transport|NOx|Work loss days", US_national_yearly!$D:$AM, 10, FALSE), 1)</f>
        <v>2.8278062383743887E-2</v>
      </c>
      <c r="F15" s="7">
        <f>$B15 * IFERROR(VLOOKUP("transport|NOx|Work loss days", US_national_yearly!$D:$AM, 14, FALSE) / VLOOKUP("transport|NOx|Work loss days", US_national_yearly!$D:$AM, 10, FALSE), 1)</f>
        <v>2.8340548421762764E-2</v>
      </c>
      <c r="G15" s="7">
        <f>$B15 * IFERROR(VLOOKUP("transport|NOx|Work loss days", US_national_yearly!$D:$AM, 15, FALSE) / VLOOKUP("transport|NOx|Work loss days", US_national_yearly!$D:$AM, 10, FALSE), 1)</f>
        <v>2.8431778570303962E-2</v>
      </c>
      <c r="H15" s="7">
        <f>$B15 * IFERROR(VLOOKUP("transport|NOx|Work loss days", US_national_yearly!$D:$AM, 16, FALSE) / VLOOKUP("transport|NOx|Work loss days", US_national_yearly!$D:$AM, 10, FALSE), 1)</f>
        <v>2.8523008718845166E-2</v>
      </c>
      <c r="I15" s="7">
        <f>$B15 * IFERROR(VLOOKUP("transport|NOx|Work loss days", US_national_yearly!$D:$AM, 17, FALSE) / VLOOKUP("transport|NOx|Work loss days", US_national_yearly!$D:$AM, 10, FALSE), 1)</f>
        <v>2.867079661515301E-2</v>
      </c>
      <c r="J15" s="7">
        <f>$B15 * IFERROR(VLOOKUP("transport|NOx|Work loss days", US_national_yearly!$D:$AM, 18, FALSE) / VLOOKUP("transport|NOx|Work loss days", US_national_yearly!$D:$AM, 10, FALSE), 1)</f>
        <v>2.8818584511460858E-2</v>
      </c>
      <c r="K15" s="7">
        <f>$B15 * IFERROR(VLOOKUP("transport|NOx|Work loss days", US_national_yearly!$D:$AM, 19, FALSE) / VLOOKUP("transport|NOx|Work loss days", US_national_yearly!$D:$AM, 10, FALSE), 1)</f>
        <v>2.8966372407768701E-2</v>
      </c>
      <c r="L15" s="7">
        <f>$B15 * IFERROR(VLOOKUP("transport|NOx|Work loss days", US_national_yearly!$D:$AM, 20, FALSE) / VLOOKUP("transport|NOx|Work loss days", US_national_yearly!$D:$AM, 10, FALSE), 1)</f>
        <v>2.9114160304076545E-2</v>
      </c>
      <c r="M15" s="7">
        <f>$B15 * IFERROR(VLOOKUP("transport|NOx|Work loss days", US_national_yearly!$D:$AM, 21, FALSE) / VLOOKUP("transport|NOx|Work loss days", US_national_yearly!$D:$AM, 10, FALSE), 1)</f>
        <v>2.9261948200384393E-2</v>
      </c>
      <c r="N15" s="7">
        <f>$B15 * IFERROR(VLOOKUP("transport|NOx|Work loss days", US_national_yearly!$D:$AM, 22, FALSE) / VLOOKUP("transport|NOx|Work loss days", US_national_yearly!$D:$AM, 10, FALSE), 1)</f>
        <v>2.9454285078759791E-2</v>
      </c>
      <c r="O15" s="7">
        <f>$B15 * IFERROR(VLOOKUP("transport|NOx|Work loss days", US_national_yearly!$D:$AM, 23, FALSE) / VLOOKUP("transport|NOx|Work loss days", US_national_yearly!$D:$AM, 10, FALSE), 1)</f>
        <v>2.9646621957135185E-2</v>
      </c>
      <c r="P15" s="7">
        <f>$B15 * IFERROR(VLOOKUP("transport|NOx|Work loss days", US_national_yearly!$D:$AM, 24, FALSE) / VLOOKUP("transport|NOx|Work loss days", US_national_yearly!$D:$AM, 10, FALSE), 1)</f>
        <v>2.983895883551058E-2</v>
      </c>
      <c r="Q15" s="7">
        <f>$B15 * IFERROR(VLOOKUP("transport|NOx|Work loss days", US_national_yearly!$D:$AM, 25, FALSE) / VLOOKUP("transport|NOx|Work loss days", US_national_yearly!$D:$AM, 10, FALSE), 1)</f>
        <v>3.0031295713885971E-2</v>
      </c>
      <c r="R15" s="7">
        <f>$B15 * IFERROR(VLOOKUP("transport|NOx|Work loss days", US_national_yearly!$D:$AM, 26, FALSE) / VLOOKUP("transport|NOx|Work loss days", US_national_yearly!$D:$AM, 10, FALSE), 1)</f>
        <v>3.0223632592261372E-2</v>
      </c>
      <c r="S15" s="7">
        <f>$B15 * IFERROR(VLOOKUP("transport|NOx|Work loss days", US_national_yearly!$D:$AM, 27, FALSE) / VLOOKUP("transport|NOx|Work loss days", US_national_yearly!$D:$AM, 10, FALSE), 1)</f>
        <v>3.0438063619071094E-2</v>
      </c>
      <c r="T15" s="7">
        <f>$B15 * IFERROR(VLOOKUP("transport|NOx|Work loss days", US_national_yearly!$D:$AM, 28, FALSE) / VLOOKUP("transport|NOx|Work loss days", US_national_yearly!$D:$AM, 10, FALSE), 1)</f>
        <v>3.0652494645880816E-2</v>
      </c>
      <c r="U15" s="7">
        <f>$B15 * IFERROR(VLOOKUP("transport|NOx|Work loss days", US_national_yearly!$D:$AM, 29, FALSE) / VLOOKUP("transport|NOx|Work loss days", US_national_yearly!$D:$AM, 10, FALSE), 1)</f>
        <v>3.0866925672690532E-2</v>
      </c>
      <c r="V15" s="7">
        <f>$B15 * IFERROR(VLOOKUP("transport|NOx|Work loss days", US_national_yearly!$D:$AM, 30, FALSE) / VLOOKUP("transport|NOx|Work loss days", US_national_yearly!$D:$AM, 10, FALSE), 1)</f>
        <v>3.1081356699500254E-2</v>
      </c>
      <c r="W15" s="7">
        <f>$B15 * IFERROR(VLOOKUP("transport|NOx|Work loss days", US_national_yearly!$D:$AM, 31, FALSE) / VLOOKUP("transport|NOx|Work loss days", US_national_yearly!$D:$AM, 10, FALSE), 1)</f>
        <v>3.1295787726309976E-2</v>
      </c>
      <c r="X15" s="7">
        <f>$B15 * IFERROR(VLOOKUP("transport|NOx|Work loss days", US_national_yearly!$D:$AM, 32, FALSE) / VLOOKUP("transport|NOx|Work loss days", US_national_yearly!$D:$AM, 10, FALSE), 1)</f>
        <v>3.1481902424817389E-2</v>
      </c>
      <c r="Y15" s="7">
        <f>$B15 * IFERROR(VLOOKUP("transport|NOx|Work loss days", US_national_yearly!$D:$AM, 33, FALSE) / VLOOKUP("transport|NOx|Work loss days", US_national_yearly!$D:$AM, 10, FALSE), 1)</f>
        <v>3.1668017123324795E-2</v>
      </c>
      <c r="Z15" s="7">
        <f>$B15 * IFERROR(VLOOKUP("transport|NOx|Work loss days", US_national_yearly!$D:$AM, 34, FALSE) / VLOOKUP("transport|NOx|Work loss days", US_national_yearly!$D:$AM, 10, FALSE), 1)</f>
        <v>3.1854131821832207E-2</v>
      </c>
      <c r="AA15" s="7">
        <f>$B15 * IFERROR(VLOOKUP("transport|NOx|Work loss days", US_national_yearly!$D:$AM, 35, FALSE) / VLOOKUP("transport|NOx|Work loss days", US_national_yearly!$D:$AM, 10, FALSE), 1)</f>
        <v>3.2040246520339613E-2</v>
      </c>
      <c r="AB15" s="7">
        <f>$B15 * IFERROR(VLOOKUP("transport|NOx|Work loss days", US_national_yearly!$D:$AM, 36, FALSE) / VLOOKUP("transport|NOx|Work loss days", US_national_yearly!$D:$AM, 10, FALSE), 1)</f>
        <v>3.2226361218847026E-2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6.5441653986280954E-5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6.7364632887587065E-5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6.9287611788893148E-5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7.1210590690199245E-5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7.3133569591505342E-5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7.4960081535882403E-5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7.6786593480259463E-5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7.8322549118037323E-5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7.9858504755815182E-5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8.1394460393593041E-5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8.29304160313709E-5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8.446637166914876E-5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8.5426855623012347E-5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8.6387339576875948E-5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8.7347823530739536E-5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8.8308307484603123E-5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8.926879143846671E-5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8.9707033891263589E-5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9.0145276344060467E-5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9.0583518796857331E-5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9.1021761249654209E-5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9.1460003702451101E-5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9.1703900821129604E-5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9.194779793980812E-5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9.2191695058486622E-5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9.2435592177165138E-5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9.267948929584364E-5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3.0352077853793031E-3</v>
      </c>
      <c r="C2" s="7">
        <f>$B2 * IFERROR(VLOOKUP("transport|SO2|Premature mortality", US_national_yearly!$D:$AM, 11, FALSE) / VLOOKUP("transport|SO2|Premature mortality", US_national_yearly!$D:$AM, 10, FALSE), 1)</f>
        <v>3.073647049738159E-3</v>
      </c>
      <c r="D2" s="7">
        <f>$B2 * IFERROR(VLOOKUP("transport|SO2|Premature mortality", US_national_yearly!$D:$AM, 12, FALSE) / VLOOKUP("transport|SO2|Premature mortality", US_national_yearly!$D:$AM, 10, FALSE), 1)</f>
        <v>3.1120863140970153E-3</v>
      </c>
      <c r="E2" s="7">
        <f>$B2 * IFERROR(VLOOKUP("transport|SO2|Premature mortality", US_national_yearly!$D:$AM, 13, FALSE) / VLOOKUP("transport|SO2|Premature mortality", US_national_yearly!$D:$AM, 10, FALSE), 1)</f>
        <v>3.1505255784558713E-3</v>
      </c>
      <c r="F2" s="7">
        <f>$B2 * IFERROR(VLOOKUP("transport|SO2|Premature mortality", US_national_yearly!$D:$AM, 14, FALSE) / VLOOKUP("transport|SO2|Premature mortality", US_national_yearly!$D:$AM, 10, FALSE), 1)</f>
        <v>3.1889648428147272E-3</v>
      </c>
      <c r="G2" s="7">
        <f>$B2 * IFERROR(VLOOKUP("transport|SO2|Premature mortality", US_national_yearly!$D:$AM, 15, FALSE) / VLOOKUP("transport|SO2|Premature mortality", US_national_yearly!$D:$AM, 10, FALSE), 1)</f>
        <v>3.2630351267330729E-3</v>
      </c>
      <c r="H2" s="7">
        <f>$B2 * IFERROR(VLOOKUP("transport|SO2|Premature mortality", US_national_yearly!$D:$AM, 16, FALSE) / VLOOKUP("transport|SO2|Premature mortality", US_national_yearly!$D:$AM, 10, FALSE), 1)</f>
        <v>3.3371054106514182E-3</v>
      </c>
      <c r="I2" s="7">
        <f>$B2 * IFERROR(VLOOKUP("transport|SO2|Premature mortality", US_national_yearly!$D:$AM, 17, FALSE) / VLOOKUP("transport|SO2|Premature mortality", US_national_yearly!$D:$AM, 10, FALSE), 1)</f>
        <v>3.3860555928486766E-3</v>
      </c>
      <c r="J2" s="7">
        <f>$B2 * IFERROR(VLOOKUP("transport|SO2|Premature mortality", US_national_yearly!$D:$AM, 18, FALSE) / VLOOKUP("transport|SO2|Premature mortality", US_national_yearly!$D:$AM, 10, FALSE), 1)</f>
        <v>3.4350057750459355E-3</v>
      </c>
      <c r="K2" s="7">
        <f>$B2 * IFERROR(VLOOKUP("transport|SO2|Premature mortality", US_national_yearly!$D:$AM, 19, FALSE) / VLOOKUP("transport|SO2|Premature mortality", US_national_yearly!$D:$AM, 10, FALSE), 1)</f>
        <v>3.4839559572431931E-3</v>
      </c>
      <c r="L2" s="7">
        <f>$B2 * IFERROR(VLOOKUP("transport|SO2|Premature mortality", US_national_yearly!$D:$AM, 20, FALSE) / VLOOKUP("transport|SO2|Premature mortality", US_national_yearly!$D:$AM, 10, FALSE), 1)</f>
        <v>3.532906139440452E-3</v>
      </c>
      <c r="M2" s="7">
        <f>$B2 * IFERROR(VLOOKUP("transport|SO2|Premature mortality", US_national_yearly!$D:$AM, 21, FALSE) / VLOOKUP("transport|SO2|Premature mortality", US_national_yearly!$D:$AM, 10, FALSE), 1)</f>
        <v>3.5818563216377104E-3</v>
      </c>
      <c r="N2" s="7">
        <f>$B2 * IFERROR(VLOOKUP("transport|SO2|Premature mortality", US_national_yearly!$D:$AM, 22, FALSE) / VLOOKUP("transport|SO2|Premature mortality", US_national_yearly!$D:$AM, 10, FALSE), 1)</f>
        <v>3.6201033388152922E-3</v>
      </c>
      <c r="O2" s="7">
        <f>$B2 * IFERROR(VLOOKUP("transport|SO2|Premature mortality", US_national_yearly!$D:$AM, 23, FALSE) / VLOOKUP("transport|SO2|Premature mortality", US_national_yearly!$D:$AM, 10, FALSE), 1)</f>
        <v>3.658350355992874E-3</v>
      </c>
      <c r="P2" s="7">
        <f>$B2 * IFERROR(VLOOKUP("transport|SO2|Premature mortality", US_national_yearly!$D:$AM, 24, FALSE) / VLOOKUP("transport|SO2|Premature mortality", US_national_yearly!$D:$AM, 10, FALSE), 1)</f>
        <v>3.6965973731704557E-3</v>
      </c>
      <c r="Q2" s="7">
        <f>$B2 * IFERROR(VLOOKUP("transport|SO2|Premature mortality", US_national_yearly!$D:$AM, 25, FALSE) / VLOOKUP("transport|SO2|Premature mortality", US_national_yearly!$D:$AM, 10, FALSE), 1)</f>
        <v>3.7348443903480375E-3</v>
      </c>
      <c r="R2" s="7">
        <f>$B2 * IFERROR(VLOOKUP("transport|SO2|Premature mortality", US_national_yearly!$D:$AM, 26, FALSE) / VLOOKUP("transport|SO2|Premature mortality", US_national_yearly!$D:$AM, 10, FALSE), 1)</f>
        <v>3.7730914075256188E-3</v>
      </c>
      <c r="S2" s="7">
        <f>$B2 * IFERROR(VLOOKUP("transport|SO2|Premature mortality", US_national_yearly!$D:$AM, 27, FALSE) / VLOOKUP("transport|SO2|Premature mortality", US_national_yearly!$D:$AM, 10, FALSE), 1)</f>
        <v>3.7935731944908685E-3</v>
      </c>
      <c r="T2" s="7">
        <f>$B2 * IFERROR(VLOOKUP("transport|SO2|Premature mortality", US_national_yearly!$D:$AM, 28, FALSE) / VLOOKUP("transport|SO2|Premature mortality", US_national_yearly!$D:$AM, 10, FALSE), 1)</f>
        <v>3.8140549814561172E-3</v>
      </c>
      <c r="U2" s="7">
        <f>$B2 * IFERROR(VLOOKUP("transport|SO2|Premature mortality", US_national_yearly!$D:$AM, 29, FALSE) / VLOOKUP("transport|SO2|Premature mortality", US_national_yearly!$D:$AM, 10, FALSE), 1)</f>
        <v>3.834536768421366E-3</v>
      </c>
      <c r="V2" s="7">
        <f>$B2 * IFERROR(VLOOKUP("transport|SO2|Premature mortality", US_national_yearly!$D:$AM, 30, FALSE) / VLOOKUP("transport|SO2|Premature mortality", US_national_yearly!$D:$AM, 10, FALSE), 1)</f>
        <v>3.8550185553866147E-3</v>
      </c>
      <c r="W2" s="7">
        <f>$B2 * IFERROR(VLOOKUP("transport|SO2|Premature mortality", US_national_yearly!$D:$AM, 31, FALSE) / VLOOKUP("transport|SO2|Premature mortality", US_national_yearly!$D:$AM, 10, FALSE), 1)</f>
        <v>3.8755003423518643E-3</v>
      </c>
      <c r="X2" s="7">
        <f>$B2 * IFERROR(VLOOKUP("transport|SO2|Premature mortality", US_national_yearly!$D:$AM, 32, FALSE) / VLOOKUP("transport|SO2|Premature mortality", US_national_yearly!$D:$AM, 10, FALSE), 1)</f>
        <v>3.8796612800229297E-3</v>
      </c>
      <c r="Y2" s="7">
        <f>$B2 * IFERROR(VLOOKUP("transport|SO2|Premature mortality", US_national_yearly!$D:$AM, 33, FALSE) / VLOOKUP("transport|SO2|Premature mortality", US_national_yearly!$D:$AM, 10, FALSE), 1)</f>
        <v>3.8838222176939955E-3</v>
      </c>
      <c r="Z2" s="7">
        <f>$B2 * IFERROR(VLOOKUP("transport|SO2|Premature mortality", US_national_yearly!$D:$AM, 34, FALSE) / VLOOKUP("transport|SO2|Premature mortality", US_national_yearly!$D:$AM, 10, FALSE), 1)</f>
        <v>3.8879831553650609E-3</v>
      </c>
      <c r="AA2" s="7">
        <f>$B2 * IFERROR(VLOOKUP("transport|SO2|Premature mortality", US_national_yearly!$D:$AM, 35, FALSE) / VLOOKUP("transport|SO2|Premature mortality", US_national_yearly!$D:$AM, 10, FALSE), 1)</f>
        <v>3.8921440930361267E-3</v>
      </c>
      <c r="AB2" s="7">
        <f>$B2 * IFERROR(VLOOKUP("transport|SO2|Premature mortality", US_national_yearly!$D:$AM, 36, FALSE) / VLOOKUP("transport|SO2|Premature mortality", US_national_yearly!$D:$AM, 10, FALSE), 1)</f>
        <v>3.8963050307071921E-3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7.272913865890258E-6</v>
      </c>
      <c r="C3" s="7">
        <f>$B3 * IFERROR(VLOOKUP("transport|SO2|Infant mortality", US_national_yearly!$D:$AM, 11, FALSE) / VLOOKUP("transport|SO2|Infant mortality", US_national_yearly!$D:$AM, 10, FALSE), 1)</f>
        <v>7.2104382091622547E-6</v>
      </c>
      <c r="D3" s="7">
        <f>$B3 * IFERROR(VLOOKUP("transport|SO2|Infant mortality", US_national_yearly!$D:$AM, 12, FALSE) / VLOOKUP("transport|SO2|Infant mortality", US_national_yearly!$D:$AM, 10, FALSE), 1)</f>
        <v>7.1479625524342515E-6</v>
      </c>
      <c r="E3" s="7">
        <f>$B3 * IFERROR(VLOOKUP("transport|SO2|Infant mortality", US_national_yearly!$D:$AM, 13, FALSE) / VLOOKUP("transport|SO2|Infant mortality", US_national_yearly!$D:$AM, 10, FALSE), 1)</f>
        <v>7.0854868957062474E-6</v>
      </c>
      <c r="F3" s="7">
        <f>$B3 * IFERROR(VLOOKUP("transport|SO2|Infant mortality", US_national_yearly!$D:$AM, 14, FALSE) / VLOOKUP("transport|SO2|Infant mortality", US_national_yearly!$D:$AM, 10, FALSE), 1)</f>
        <v>7.0230112389782441E-6</v>
      </c>
      <c r="G3" s="7">
        <f>$B3 * IFERROR(VLOOKUP("transport|SO2|Infant mortality", US_national_yearly!$D:$AM, 15, FALSE) / VLOOKUP("transport|SO2|Infant mortality", US_national_yearly!$D:$AM, 10, FALSE), 1)</f>
        <v>4.677891129585908E-6</v>
      </c>
      <c r="H3" s="7">
        <f>$B3 * IFERROR(VLOOKUP("transport|SO2|Infant mortality", US_national_yearly!$D:$AM, 16, FALSE) / VLOOKUP("transport|SO2|Infant mortality", US_national_yearly!$D:$AM, 10, FALSE), 1)</f>
        <v>2.3327710201935761E-6</v>
      </c>
      <c r="I3" s="7">
        <f>$B3 * IFERROR(VLOOKUP("transport|SO2|Infant mortality", US_national_yearly!$D:$AM, 17, FALSE) / VLOOKUP("transport|SO2|Infant mortality", US_national_yearly!$D:$AM, 10, FALSE), 1)</f>
        <v>2.3181368431475347E-6</v>
      </c>
      <c r="J3" s="7">
        <f>$B3 * IFERROR(VLOOKUP("transport|SO2|Infant mortality", US_national_yearly!$D:$AM, 18, FALSE) / VLOOKUP("transport|SO2|Infant mortality", US_national_yearly!$D:$AM, 10, FALSE), 1)</f>
        <v>2.3035026661014934E-6</v>
      </c>
      <c r="K3" s="7">
        <f>$B3 * IFERROR(VLOOKUP("transport|SO2|Infant mortality", US_national_yearly!$D:$AM, 19, FALSE) / VLOOKUP("transport|SO2|Infant mortality", US_national_yearly!$D:$AM, 10, FALSE), 1)</f>
        <v>2.288868489055452E-6</v>
      </c>
      <c r="L3" s="7">
        <f>$B3 * IFERROR(VLOOKUP("transport|SO2|Infant mortality", US_national_yearly!$D:$AM, 20, FALSE) / VLOOKUP("transport|SO2|Infant mortality", US_national_yearly!$D:$AM, 10, FALSE), 1)</f>
        <v>2.2742343120094111E-6</v>
      </c>
      <c r="M3" s="7">
        <f>$B3 * IFERROR(VLOOKUP("transport|SO2|Infant mortality", US_national_yearly!$D:$AM, 21, FALSE) / VLOOKUP("transport|SO2|Infant mortality", US_national_yearly!$D:$AM, 10, FALSE), 1)</f>
        <v>2.2596001349633697E-6</v>
      </c>
      <c r="N3" s="7">
        <f>$B3 * IFERROR(VLOOKUP("transport|SO2|Infant mortality", US_national_yearly!$D:$AM, 22, FALSE) / VLOOKUP("transport|SO2|Infant mortality", US_national_yearly!$D:$AM, 10, FALSE), 1)</f>
        <v>2.2504143715927103E-6</v>
      </c>
      <c r="O3" s="7">
        <f>$B3 * IFERROR(VLOOKUP("transport|SO2|Infant mortality", US_national_yearly!$D:$AM, 23, FALSE) / VLOOKUP("transport|SO2|Infant mortality", US_national_yearly!$D:$AM, 10, FALSE), 1)</f>
        <v>2.2412286082220504E-6</v>
      </c>
      <c r="P3" s="7">
        <f>$B3 * IFERROR(VLOOKUP("transport|SO2|Infant mortality", US_national_yearly!$D:$AM, 24, FALSE) / VLOOKUP("transport|SO2|Infant mortality", US_national_yearly!$D:$AM, 10, FALSE), 1)</f>
        <v>2.2320428448513905E-6</v>
      </c>
      <c r="Q3" s="7">
        <f>$B3 * IFERROR(VLOOKUP("transport|SO2|Infant mortality", US_national_yearly!$D:$AM, 25, FALSE) / VLOOKUP("transport|SO2|Infant mortality", US_national_yearly!$D:$AM, 10, FALSE), 1)</f>
        <v>2.222857081480731E-6</v>
      </c>
      <c r="R3" s="7">
        <f>$B3 * IFERROR(VLOOKUP("transport|SO2|Infant mortality", US_national_yearly!$D:$AM, 26, FALSE) / VLOOKUP("transport|SO2|Infant mortality", US_national_yearly!$D:$AM, 10, FALSE), 1)</f>
        <v>2.2136713181100711E-6</v>
      </c>
      <c r="S3" s="7">
        <f>$B3 * IFERROR(VLOOKUP("transport|SO2|Infant mortality", US_national_yearly!$D:$AM, 27, FALSE) / VLOOKUP("transport|SO2|Infant mortality", US_national_yearly!$D:$AM, 10, FALSE), 1)</f>
        <v>2.2021380325895243E-6</v>
      </c>
      <c r="T3" s="7">
        <f>$B3 * IFERROR(VLOOKUP("transport|SO2|Infant mortality", US_national_yearly!$D:$AM, 28, FALSE) / VLOOKUP("transport|SO2|Infant mortality", US_national_yearly!$D:$AM, 10, FALSE), 1)</f>
        <v>2.1906047470689779E-6</v>
      </c>
      <c r="U3" s="7">
        <f>$B3 * IFERROR(VLOOKUP("transport|SO2|Infant mortality", US_national_yearly!$D:$AM, 29, FALSE) / VLOOKUP("transport|SO2|Infant mortality", US_national_yearly!$D:$AM, 10, FALSE), 1)</f>
        <v>2.1790714615484303E-6</v>
      </c>
      <c r="V3" s="7">
        <f>$B3 * IFERROR(VLOOKUP("transport|SO2|Infant mortality", US_national_yearly!$D:$AM, 30, FALSE) / VLOOKUP("transport|SO2|Infant mortality", US_national_yearly!$D:$AM, 10, FALSE), 1)</f>
        <v>2.1675381760278843E-6</v>
      </c>
      <c r="W3" s="7">
        <f>$B3 * IFERROR(VLOOKUP("transport|SO2|Infant mortality", US_national_yearly!$D:$AM, 31, FALSE) / VLOOKUP("transport|SO2|Infant mortality", US_national_yearly!$D:$AM, 10, FALSE), 1)</f>
        <v>2.1560048905073371E-6</v>
      </c>
      <c r="X3" s="7">
        <f>$B3 * IFERROR(VLOOKUP("transport|SO2|Infant mortality", US_national_yearly!$D:$AM, 32, FALSE) / VLOOKUP("transport|SO2|Infant mortality", US_national_yearly!$D:$AM, 10, FALSE), 1)</f>
        <v>2.1433954494302436E-6</v>
      </c>
      <c r="Y3" s="7">
        <f>$B3 * IFERROR(VLOOKUP("transport|SO2|Infant mortality", US_national_yearly!$D:$AM, 33, FALSE) / VLOOKUP("transport|SO2|Infant mortality", US_national_yearly!$D:$AM, 10, FALSE), 1)</f>
        <v>2.1307860083531488E-6</v>
      </c>
      <c r="Z3" s="7">
        <f>$B3 * IFERROR(VLOOKUP("transport|SO2|Infant mortality", US_national_yearly!$D:$AM, 34, FALSE) / VLOOKUP("transport|SO2|Infant mortality", US_national_yearly!$D:$AM, 10, FALSE), 1)</f>
        <v>2.1181765672760554E-6</v>
      </c>
      <c r="AA3" s="7">
        <f>$B3 * IFERROR(VLOOKUP("transport|SO2|Infant mortality", US_national_yearly!$D:$AM, 35, FALSE) / VLOOKUP("transport|SO2|Infant mortality", US_national_yearly!$D:$AM, 10, FALSE), 1)</f>
        <v>2.1055671261989606E-6</v>
      </c>
      <c r="AB3" s="7">
        <f>$B3 * IFERROR(VLOOKUP("transport|SO2|Infant mortality", US_national_yearly!$D:$AM, 36, FALSE) / VLOOKUP("transport|SO2|Infant mortality", US_national_yearly!$D:$AM, 10, FALSE), 1)</f>
        <v>2.0929576851218671E-6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7.0214446369870776E-3</v>
      </c>
      <c r="C6" s="7">
        <f>$B6 * IFERROR(VLOOKUP("transport|SO2|Asthma symptoms cough", US_national_yearly!$D:$AM, 11, FALSE) / VLOOKUP("transport|SO2|Asthma symptoms cough", US_national_yearly!$D:$AM, 10, FALSE), 1)</f>
        <v>7.0214446369870776E-3</v>
      </c>
      <c r="D6" s="7">
        <f>$B6 * IFERROR(VLOOKUP("transport|SO2|Asthma symptoms cough", US_national_yearly!$D:$AM, 12, FALSE) / VLOOKUP("transport|SO2|Asthma symptoms cough", US_national_yearly!$D:$AM, 10, FALSE), 1)</f>
        <v>7.0214446369870776E-3</v>
      </c>
      <c r="E6" s="7">
        <f>$B6 * IFERROR(VLOOKUP("transport|SO2|Asthma symptoms cough", US_national_yearly!$D:$AM, 13, FALSE) / VLOOKUP("transport|SO2|Asthma symptoms cough", US_national_yearly!$D:$AM, 10, FALSE), 1)</f>
        <v>7.0214446369870776E-3</v>
      </c>
      <c r="F6" s="7">
        <f>$B6 * IFERROR(VLOOKUP("transport|SO2|Asthma symptoms cough", US_national_yearly!$D:$AM, 14, FALSE) / VLOOKUP("transport|SO2|Asthma symptoms cough", US_national_yearly!$D:$AM, 10, FALSE), 1)</f>
        <v>7.0214446369870776E-3</v>
      </c>
      <c r="G6" s="7">
        <f>$B6 * IFERROR(VLOOKUP("transport|SO2|Asthma symptoms cough", US_national_yearly!$D:$AM, 15, FALSE) / VLOOKUP("transport|SO2|Asthma symptoms cough", US_national_yearly!$D:$AM, 10, FALSE), 1)</f>
        <v>7.0214446369870776E-3</v>
      </c>
      <c r="H6" s="7">
        <f>$B6 * IFERROR(VLOOKUP("transport|SO2|Asthma symptoms cough", US_national_yearly!$D:$AM, 16, FALSE) / VLOOKUP("transport|SO2|Asthma symptoms cough", US_national_yearly!$D:$AM, 10, FALSE), 1)</f>
        <v>7.0214446369870776E-3</v>
      </c>
      <c r="I6" s="7">
        <f>$B6 * IFERROR(VLOOKUP("transport|SO2|Asthma symptoms cough", US_national_yearly!$D:$AM, 17, FALSE) / VLOOKUP("transport|SO2|Asthma symptoms cough", US_national_yearly!$D:$AM, 10, FALSE), 1)</f>
        <v>7.0214446369870776E-3</v>
      </c>
      <c r="J6" s="7">
        <f>$B6 * IFERROR(VLOOKUP("transport|SO2|Asthma symptoms cough", US_national_yearly!$D:$AM, 18, FALSE) / VLOOKUP("transport|SO2|Asthma symptoms cough", US_national_yearly!$D:$AM, 10, FALSE), 1)</f>
        <v>7.0214446369870776E-3</v>
      </c>
      <c r="K6" s="7">
        <f>$B6 * IFERROR(VLOOKUP("transport|SO2|Asthma symptoms cough", US_national_yearly!$D:$AM, 19, FALSE) / VLOOKUP("transport|SO2|Asthma symptoms cough", US_national_yearly!$D:$AM, 10, FALSE), 1)</f>
        <v>7.0214446369870776E-3</v>
      </c>
      <c r="L6" s="7">
        <f>$B6 * IFERROR(VLOOKUP("transport|SO2|Asthma symptoms cough", US_national_yearly!$D:$AM, 20, FALSE) / VLOOKUP("transport|SO2|Asthma symptoms cough", US_national_yearly!$D:$AM, 10, FALSE), 1)</f>
        <v>7.0214446369870776E-3</v>
      </c>
      <c r="M6" s="7">
        <f>$B6 * IFERROR(VLOOKUP("transport|SO2|Asthma symptoms cough", US_national_yearly!$D:$AM, 21, FALSE) / VLOOKUP("transport|SO2|Asthma symptoms cough", US_national_yearly!$D:$AM, 10, FALSE), 1)</f>
        <v>7.0214446369870776E-3</v>
      </c>
      <c r="N6" s="7">
        <f>$B6 * IFERROR(VLOOKUP("transport|SO2|Asthma symptoms cough", US_national_yearly!$D:$AM, 22, FALSE) / VLOOKUP("transport|SO2|Asthma symptoms cough", US_national_yearly!$D:$AM, 10, FALSE), 1)</f>
        <v>7.0214446369870776E-3</v>
      </c>
      <c r="O6" s="7">
        <f>$B6 * IFERROR(VLOOKUP("transport|SO2|Asthma symptoms cough", US_national_yearly!$D:$AM, 23, FALSE) / VLOOKUP("transport|SO2|Asthma symptoms cough", US_national_yearly!$D:$AM, 10, FALSE), 1)</f>
        <v>7.0214446369870776E-3</v>
      </c>
      <c r="P6" s="7">
        <f>$B6 * IFERROR(VLOOKUP("transport|SO2|Asthma symptoms cough", US_national_yearly!$D:$AM, 24, FALSE) / VLOOKUP("transport|SO2|Asthma symptoms cough", US_national_yearly!$D:$AM, 10, FALSE), 1)</f>
        <v>7.0214446369870776E-3</v>
      </c>
      <c r="Q6" s="7">
        <f>$B6 * IFERROR(VLOOKUP("transport|SO2|Asthma symptoms cough", US_national_yearly!$D:$AM, 25, FALSE) / VLOOKUP("transport|SO2|Asthma symptoms cough", US_national_yearly!$D:$AM, 10, FALSE), 1)</f>
        <v>7.0214446369870776E-3</v>
      </c>
      <c r="R6" s="7">
        <f>$B6 * IFERROR(VLOOKUP("transport|SO2|Asthma symptoms cough", US_national_yearly!$D:$AM, 26, FALSE) / VLOOKUP("transport|SO2|Asthma symptoms cough", US_national_yearly!$D:$AM, 10, FALSE), 1)</f>
        <v>7.0214446369870776E-3</v>
      </c>
      <c r="S6" s="7">
        <f>$B6 * IFERROR(VLOOKUP("transport|SO2|Asthma symptoms cough", US_national_yearly!$D:$AM, 27, FALSE) / VLOOKUP("transport|SO2|Asthma symptoms cough", US_national_yearly!$D:$AM, 10, FALSE), 1)</f>
        <v>7.0214446369870776E-3</v>
      </c>
      <c r="T6" s="7">
        <f>$B6 * IFERROR(VLOOKUP("transport|SO2|Asthma symptoms cough", US_national_yearly!$D:$AM, 28, FALSE) / VLOOKUP("transport|SO2|Asthma symptoms cough", US_national_yearly!$D:$AM, 10, FALSE), 1)</f>
        <v>7.0214446369870776E-3</v>
      </c>
      <c r="U6" s="7">
        <f>$B6 * IFERROR(VLOOKUP("transport|SO2|Asthma symptoms cough", US_national_yearly!$D:$AM, 29, FALSE) / VLOOKUP("transport|SO2|Asthma symptoms cough", US_national_yearly!$D:$AM, 10, FALSE), 1)</f>
        <v>7.0214446369870776E-3</v>
      </c>
      <c r="V6" s="7">
        <f>$B6 * IFERROR(VLOOKUP("transport|SO2|Asthma symptoms cough", US_national_yearly!$D:$AM, 30, FALSE) / VLOOKUP("transport|SO2|Asthma symptoms cough", US_national_yearly!$D:$AM, 10, FALSE), 1)</f>
        <v>7.0214446369870776E-3</v>
      </c>
      <c r="W6" s="7">
        <f>$B6 * IFERROR(VLOOKUP("transport|SO2|Asthma symptoms cough", US_national_yearly!$D:$AM, 31, FALSE) / VLOOKUP("transport|SO2|Asthma symptoms cough", US_national_yearly!$D:$AM, 10, FALSE), 1)</f>
        <v>7.0214446369870776E-3</v>
      </c>
      <c r="X6" s="7">
        <f>$B6 * IFERROR(VLOOKUP("transport|SO2|Asthma symptoms cough", US_national_yearly!$D:$AM, 32, FALSE) / VLOOKUP("transport|SO2|Asthma symptoms cough", US_national_yearly!$D:$AM, 10, FALSE), 1)</f>
        <v>7.0214446369870776E-3</v>
      </c>
      <c r="Y6" s="7">
        <f>$B6 * IFERROR(VLOOKUP("transport|SO2|Asthma symptoms cough", US_national_yearly!$D:$AM, 33, FALSE) / VLOOKUP("transport|SO2|Asthma symptoms cough", US_national_yearly!$D:$AM, 10, FALSE), 1)</f>
        <v>7.0214446369870776E-3</v>
      </c>
      <c r="Z6" s="7">
        <f>$B6 * IFERROR(VLOOKUP("transport|SO2|Asthma symptoms cough", US_national_yearly!$D:$AM, 34, FALSE) / VLOOKUP("transport|SO2|Asthma symptoms cough", US_national_yearly!$D:$AM, 10, FALSE), 1)</f>
        <v>7.0214446369870776E-3</v>
      </c>
      <c r="AA6" s="7">
        <f>$B6 * IFERROR(VLOOKUP("transport|SO2|Asthma symptoms cough", US_national_yearly!$D:$AM, 35, FALSE) / VLOOKUP("transport|SO2|Asthma symptoms cough", US_national_yearly!$D:$AM, 10, FALSE), 1)</f>
        <v>7.0214446369870776E-3</v>
      </c>
      <c r="AB6" s="7">
        <f>$B6 * IFERROR(VLOOKUP("transport|SO2|Asthma symptoms cough", US_national_yearly!$D:$AM, 36, FALSE) / VLOOKUP("transport|SO2|Asthma symptoms cough", US_national_yearly!$D:$AM, 10, FALSE), 1)</f>
        <v>7.0214446369870776E-3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9.4553958557626761E-3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9.4553958557626761E-3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9.4553958557626761E-3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9.4553958557626761E-3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9.4553958557626761E-3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9.4553958557626761E-3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9.4553958557626761E-3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9.4553958557626761E-3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9.4553958557626761E-3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9.4553958557626761E-3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9.4553958557626761E-3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9.4553958557626761E-3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9.4553958557626761E-3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9.4553958557626761E-3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9.4553958557626761E-3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9.4553958557626761E-3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9.4553958557626761E-3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9.4553958557626761E-3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9.4553958557626761E-3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9.4553958557626761E-3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9.4553958557626761E-3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9.4553958557626761E-3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9.4553958557626761E-3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9.4553958557626761E-3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9.4553958557626761E-3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9.4553958557626761E-3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9.4553958557626761E-3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1.4446235990605646E-2</v>
      </c>
      <c r="C8" s="7">
        <f>$B8 * IFERROR(VLOOKUP("transport|SO2|Asthma symptoms wheeze", US_national_yearly!$D:$AM, 11, FALSE) / VLOOKUP("transport|SO2|Asthma symptoms wheeze", US_national_yearly!$D:$AM, 10, FALSE), 1)</f>
        <v>1.4446235990605646E-2</v>
      </c>
      <c r="D8" s="7">
        <f>$B8 * IFERROR(VLOOKUP("transport|SO2|Asthma symptoms wheeze", US_national_yearly!$D:$AM, 12, FALSE) / VLOOKUP("transport|SO2|Asthma symptoms wheeze", US_national_yearly!$D:$AM, 10, FALSE), 1)</f>
        <v>1.4446235990605646E-2</v>
      </c>
      <c r="E8" s="7">
        <f>$B8 * IFERROR(VLOOKUP("transport|SO2|Asthma symptoms wheeze", US_national_yearly!$D:$AM, 13, FALSE) / VLOOKUP("transport|SO2|Asthma symptoms wheeze", US_national_yearly!$D:$AM, 10, FALSE), 1)</f>
        <v>1.4446235990605646E-2</v>
      </c>
      <c r="F8" s="7">
        <f>$B8 * IFERROR(VLOOKUP("transport|SO2|Asthma symptoms wheeze", US_national_yearly!$D:$AM, 14, FALSE) / VLOOKUP("transport|SO2|Asthma symptoms wheeze", US_national_yearly!$D:$AM, 10, FALSE), 1)</f>
        <v>1.4446235990605646E-2</v>
      </c>
      <c r="G8" s="7">
        <f>$B8 * IFERROR(VLOOKUP("transport|SO2|Asthma symptoms wheeze", US_national_yearly!$D:$AM, 15, FALSE) / VLOOKUP("transport|SO2|Asthma symptoms wheeze", US_national_yearly!$D:$AM, 10, FALSE), 1)</f>
        <v>1.4446235990605646E-2</v>
      </c>
      <c r="H8" s="7">
        <f>$B8 * IFERROR(VLOOKUP("transport|SO2|Asthma symptoms wheeze", US_national_yearly!$D:$AM, 16, FALSE) / VLOOKUP("transport|SO2|Asthma symptoms wheeze", US_national_yearly!$D:$AM, 10, FALSE), 1)</f>
        <v>1.4446235990605646E-2</v>
      </c>
      <c r="I8" s="7">
        <f>$B8 * IFERROR(VLOOKUP("transport|SO2|Asthma symptoms wheeze", US_national_yearly!$D:$AM, 17, FALSE) / VLOOKUP("transport|SO2|Asthma symptoms wheeze", US_national_yearly!$D:$AM, 10, FALSE), 1)</f>
        <v>1.4446235990605646E-2</v>
      </c>
      <c r="J8" s="7">
        <f>$B8 * IFERROR(VLOOKUP("transport|SO2|Asthma symptoms wheeze", US_national_yearly!$D:$AM, 18, FALSE) / VLOOKUP("transport|SO2|Asthma symptoms wheeze", US_national_yearly!$D:$AM, 10, FALSE), 1)</f>
        <v>1.4446235990605646E-2</v>
      </c>
      <c r="K8" s="7">
        <f>$B8 * IFERROR(VLOOKUP("transport|SO2|Asthma symptoms wheeze", US_national_yearly!$D:$AM, 19, FALSE) / VLOOKUP("transport|SO2|Asthma symptoms wheeze", US_national_yearly!$D:$AM, 10, FALSE), 1)</f>
        <v>1.4446235990605646E-2</v>
      </c>
      <c r="L8" s="7">
        <f>$B8 * IFERROR(VLOOKUP("transport|SO2|Asthma symptoms wheeze", US_national_yearly!$D:$AM, 20, FALSE) / VLOOKUP("transport|SO2|Asthma symptoms wheeze", US_national_yearly!$D:$AM, 10, FALSE), 1)</f>
        <v>1.4446235990605646E-2</v>
      </c>
      <c r="M8" s="7">
        <f>$B8 * IFERROR(VLOOKUP("transport|SO2|Asthma symptoms wheeze", US_national_yearly!$D:$AM, 21, FALSE) / VLOOKUP("transport|SO2|Asthma symptoms wheeze", US_national_yearly!$D:$AM, 10, FALSE), 1)</f>
        <v>1.4446235990605646E-2</v>
      </c>
      <c r="N8" s="7">
        <f>$B8 * IFERROR(VLOOKUP("transport|SO2|Asthma symptoms wheeze", US_national_yearly!$D:$AM, 22, FALSE) / VLOOKUP("transport|SO2|Asthma symptoms wheeze", US_national_yearly!$D:$AM, 10, FALSE), 1)</f>
        <v>1.4446235990605646E-2</v>
      </c>
      <c r="O8" s="7">
        <f>$B8 * IFERROR(VLOOKUP("transport|SO2|Asthma symptoms wheeze", US_national_yearly!$D:$AM, 23, FALSE) / VLOOKUP("transport|SO2|Asthma symptoms wheeze", US_national_yearly!$D:$AM, 10, FALSE), 1)</f>
        <v>1.4446235990605646E-2</v>
      </c>
      <c r="P8" s="7">
        <f>$B8 * IFERROR(VLOOKUP("transport|SO2|Asthma symptoms wheeze", US_national_yearly!$D:$AM, 24, FALSE) / VLOOKUP("transport|SO2|Asthma symptoms wheeze", US_national_yearly!$D:$AM, 10, FALSE), 1)</f>
        <v>1.4446235990605646E-2</v>
      </c>
      <c r="Q8" s="7">
        <f>$B8 * IFERROR(VLOOKUP("transport|SO2|Asthma symptoms wheeze", US_national_yearly!$D:$AM, 25, FALSE) / VLOOKUP("transport|SO2|Asthma symptoms wheeze", US_national_yearly!$D:$AM, 10, FALSE), 1)</f>
        <v>1.4446235990605646E-2</v>
      </c>
      <c r="R8" s="7">
        <f>$B8 * IFERROR(VLOOKUP("transport|SO2|Asthma symptoms wheeze", US_national_yearly!$D:$AM, 26, FALSE) / VLOOKUP("transport|SO2|Asthma symptoms wheeze", US_national_yearly!$D:$AM, 10, FALSE), 1)</f>
        <v>1.4446235990605646E-2</v>
      </c>
      <c r="S8" s="7">
        <f>$B8 * IFERROR(VLOOKUP("transport|SO2|Asthma symptoms wheeze", US_national_yearly!$D:$AM, 27, FALSE) / VLOOKUP("transport|SO2|Asthma symptoms wheeze", US_national_yearly!$D:$AM, 10, FALSE), 1)</f>
        <v>1.4446235990605646E-2</v>
      </c>
      <c r="T8" s="7">
        <f>$B8 * IFERROR(VLOOKUP("transport|SO2|Asthma symptoms wheeze", US_national_yearly!$D:$AM, 28, FALSE) / VLOOKUP("transport|SO2|Asthma symptoms wheeze", US_national_yearly!$D:$AM, 10, FALSE), 1)</f>
        <v>1.4446235990605646E-2</v>
      </c>
      <c r="U8" s="7">
        <f>$B8 * IFERROR(VLOOKUP("transport|SO2|Asthma symptoms wheeze", US_national_yearly!$D:$AM, 29, FALSE) / VLOOKUP("transport|SO2|Asthma symptoms wheeze", US_national_yearly!$D:$AM, 10, FALSE), 1)</f>
        <v>1.4446235990605646E-2</v>
      </c>
      <c r="V8" s="7">
        <f>$B8 * IFERROR(VLOOKUP("transport|SO2|Asthma symptoms wheeze", US_national_yearly!$D:$AM, 30, FALSE) / VLOOKUP("transport|SO2|Asthma symptoms wheeze", US_national_yearly!$D:$AM, 10, FALSE), 1)</f>
        <v>1.4446235990605646E-2</v>
      </c>
      <c r="W8" s="7">
        <f>$B8 * IFERROR(VLOOKUP("transport|SO2|Asthma symptoms wheeze", US_national_yearly!$D:$AM, 31, FALSE) / VLOOKUP("transport|SO2|Asthma symptoms wheeze", US_national_yearly!$D:$AM, 10, FALSE), 1)</f>
        <v>1.4446235990605646E-2</v>
      </c>
      <c r="X8" s="7">
        <f>$B8 * IFERROR(VLOOKUP("transport|SO2|Asthma symptoms wheeze", US_national_yearly!$D:$AM, 32, FALSE) / VLOOKUP("transport|SO2|Asthma symptoms wheeze", US_national_yearly!$D:$AM, 10, FALSE), 1)</f>
        <v>1.4446235990605646E-2</v>
      </c>
      <c r="Y8" s="7">
        <f>$B8 * IFERROR(VLOOKUP("transport|SO2|Asthma symptoms wheeze", US_national_yearly!$D:$AM, 33, FALSE) / VLOOKUP("transport|SO2|Asthma symptoms wheeze", US_national_yearly!$D:$AM, 10, FALSE), 1)</f>
        <v>1.4446235990605646E-2</v>
      </c>
      <c r="Z8" s="7">
        <f>$B8 * IFERROR(VLOOKUP("transport|SO2|Asthma symptoms wheeze", US_national_yearly!$D:$AM, 34, FALSE) / VLOOKUP("transport|SO2|Asthma symptoms wheeze", US_national_yearly!$D:$AM, 10, FALSE), 1)</f>
        <v>1.4446235990605646E-2</v>
      </c>
      <c r="AA8" s="7">
        <f>$B8 * IFERROR(VLOOKUP("transport|SO2|Asthma symptoms wheeze", US_national_yearly!$D:$AM, 35, FALSE) / VLOOKUP("transport|SO2|Asthma symptoms wheeze", US_national_yearly!$D:$AM, 10, FALSE), 1)</f>
        <v>1.4446235990605646E-2</v>
      </c>
      <c r="AB8" s="7">
        <f>$B8 * IFERROR(VLOOKUP("transport|SO2|Asthma symptoms wheeze", US_national_yearly!$D:$AM, 36, FALSE) / VLOOKUP("transport|SO2|Asthma symptoms wheeze", US_national_yearly!$D:$AM, 10, FALSE), 1)</f>
        <v>1.4446235990605646E-2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2.6381875115128812E-4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2.6537476725602474E-4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2.6693078336076137E-4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2.68486799465498E-4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2.7004281557023457E-4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2.7173913557918168E-4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2.7343545558812884E-4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2.7510822908781755E-4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2.7678100258750636E-4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2.7845377608719506E-4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2.8012654958688388E-4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2.8179932308657258E-4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2.8302039610517322E-4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2.8424146912377381E-4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2.8546254214237445E-4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2.8668361516097509E-4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2.8790468817957568E-4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2.890694986688203E-4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2.9023430915806487E-4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2.913991196473095E-4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2.9256393013655407E-4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2.9372874062579869E-4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2.9483395454093624E-4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2.959391684560738E-4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2.9704438237121141E-4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2.9814959628634896E-4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2.9925481020148657E-4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1.4256549013481961E-3</v>
      </c>
      <c r="C13" s="7">
        <f>$B13 * IFERROR(VLOOKUP("transport|SO2|Non-fatal heart attacks", US_national_yearly!$D:$AM, 11, FALSE) / VLOOKUP("transport|SO2|Non-fatal heart attacks", US_national_yearly!$D:$AM, 10, FALSE), 1)</f>
        <v>1.4675069509892493E-3</v>
      </c>
      <c r="D13" s="7">
        <f>$B13 * IFERROR(VLOOKUP("transport|SO2|Non-fatal heart attacks", US_national_yearly!$D:$AM, 12, FALSE) / VLOOKUP("transport|SO2|Non-fatal heart attacks", US_national_yearly!$D:$AM, 10, FALSE), 1)</f>
        <v>1.5093590006303025E-3</v>
      </c>
      <c r="E13" s="7">
        <f>$B13 * IFERROR(VLOOKUP("transport|SO2|Non-fatal heart attacks", US_national_yearly!$D:$AM, 13, FALSE) / VLOOKUP("transport|SO2|Non-fatal heart attacks", US_national_yearly!$D:$AM, 10, FALSE), 1)</f>
        <v>1.5512110502713557E-3</v>
      </c>
      <c r="F13" s="7">
        <f>$B13 * IFERROR(VLOOKUP("transport|SO2|Non-fatal heart attacks", US_national_yearly!$D:$AM, 14, FALSE) / VLOOKUP("transport|SO2|Non-fatal heart attacks", US_national_yearly!$D:$AM, 10, FALSE), 1)</f>
        <v>1.5930630999124087E-3</v>
      </c>
      <c r="G13" s="7">
        <f>$B13 * IFERROR(VLOOKUP("transport|SO2|Non-fatal heart attacks", US_national_yearly!$D:$AM, 15, FALSE) / VLOOKUP("transport|SO2|Non-fatal heart attacks", US_national_yearly!$D:$AM, 10, FALSE), 1)</f>
        <v>1.6325334647386777E-3</v>
      </c>
      <c r="H13" s="7">
        <f>$B13 * IFERROR(VLOOKUP("transport|SO2|Non-fatal heart attacks", US_national_yearly!$D:$AM, 16, FALSE) / VLOOKUP("transport|SO2|Non-fatal heart attacks", US_national_yearly!$D:$AM, 10, FALSE), 1)</f>
        <v>1.6720038295649469E-3</v>
      </c>
      <c r="I13" s="7">
        <f>$B13 * IFERROR(VLOOKUP("transport|SO2|Non-fatal heart attacks", US_national_yearly!$D:$AM, 17, FALSE) / VLOOKUP("transport|SO2|Non-fatal heart attacks", US_national_yearly!$D:$AM, 10, FALSE), 1)</f>
        <v>1.7037650998629776E-3</v>
      </c>
      <c r="J13" s="7">
        <f>$B13 * IFERROR(VLOOKUP("transport|SO2|Non-fatal heart attacks", US_national_yearly!$D:$AM, 18, FALSE) / VLOOKUP("transport|SO2|Non-fatal heart attacks", US_national_yearly!$D:$AM, 10, FALSE), 1)</f>
        <v>1.7355263701610089E-3</v>
      </c>
      <c r="K13" s="7">
        <f>$B13 * IFERROR(VLOOKUP("transport|SO2|Non-fatal heart attacks", US_national_yearly!$D:$AM, 19, FALSE) / VLOOKUP("transport|SO2|Non-fatal heart attacks", US_national_yearly!$D:$AM, 10, FALSE), 1)</f>
        <v>1.7672876404590395E-3</v>
      </c>
      <c r="L13" s="7">
        <f>$B13 * IFERROR(VLOOKUP("transport|SO2|Non-fatal heart attacks", US_national_yearly!$D:$AM, 20, FALSE) / VLOOKUP("transport|SO2|Non-fatal heart attacks", US_national_yearly!$D:$AM, 10, FALSE), 1)</f>
        <v>1.799048910757071E-3</v>
      </c>
      <c r="M13" s="7">
        <f>$B13 * IFERROR(VLOOKUP("transport|SO2|Non-fatal heart attacks", US_national_yearly!$D:$AM, 21, FALSE) / VLOOKUP("transport|SO2|Non-fatal heart attacks", US_national_yearly!$D:$AM, 10, FALSE), 1)</f>
        <v>1.8308101810551021E-3</v>
      </c>
      <c r="N13" s="7">
        <f>$B13 * IFERROR(VLOOKUP("transport|SO2|Non-fatal heart attacks", US_national_yearly!$D:$AM, 22, FALSE) / VLOOKUP("transport|SO2|Non-fatal heart attacks", US_national_yearly!$D:$AM, 10, FALSE), 1)</f>
        <v>1.8514331575866696E-3</v>
      </c>
      <c r="O13" s="7">
        <f>$B13 * IFERROR(VLOOKUP("transport|SO2|Non-fatal heart attacks", US_national_yearly!$D:$AM, 23, FALSE) / VLOOKUP("transport|SO2|Non-fatal heart attacks", US_national_yearly!$D:$AM, 10, FALSE), 1)</f>
        <v>1.8720561341182378E-3</v>
      </c>
      <c r="P13" s="7">
        <f>$B13 * IFERROR(VLOOKUP("transport|SO2|Non-fatal heart attacks", US_national_yearly!$D:$AM, 24, FALSE) / VLOOKUP("transport|SO2|Non-fatal heart attacks", US_national_yearly!$D:$AM, 10, FALSE), 1)</f>
        <v>1.8926791106498057E-3</v>
      </c>
      <c r="Q13" s="7">
        <f>$B13 * IFERROR(VLOOKUP("transport|SO2|Non-fatal heart attacks", US_national_yearly!$D:$AM, 25, FALSE) / VLOOKUP("transport|SO2|Non-fatal heart attacks", US_national_yearly!$D:$AM, 10, FALSE), 1)</f>
        <v>1.9133020871813734E-3</v>
      </c>
      <c r="R13" s="7">
        <f>$B13 * IFERROR(VLOOKUP("transport|SO2|Non-fatal heart attacks", US_national_yearly!$D:$AM, 26, FALSE) / VLOOKUP("transport|SO2|Non-fatal heart attacks", US_national_yearly!$D:$AM, 10, FALSE), 1)</f>
        <v>1.9339250637129411E-3</v>
      </c>
      <c r="S13" s="7">
        <f>$B13 * IFERROR(VLOOKUP("transport|SO2|Non-fatal heart attacks", US_national_yearly!$D:$AM, 27, FALSE) / VLOOKUP("transport|SO2|Non-fatal heart attacks", US_national_yearly!$D:$AM, 10, FALSE), 1)</f>
        <v>1.9446922037601804E-3</v>
      </c>
      <c r="T13" s="7">
        <f>$B13 * IFERROR(VLOOKUP("transport|SO2|Non-fatal heart attacks", US_national_yearly!$D:$AM, 28, FALSE) / VLOOKUP("transport|SO2|Non-fatal heart attacks", US_national_yearly!$D:$AM, 10, FALSE), 1)</f>
        <v>1.9554593438074197E-3</v>
      </c>
      <c r="U13" s="7">
        <f>$B13 * IFERROR(VLOOKUP("transport|SO2|Non-fatal heart attacks", US_national_yearly!$D:$AM, 29, FALSE) / VLOOKUP("transport|SO2|Non-fatal heart attacks", US_national_yearly!$D:$AM, 10, FALSE), 1)</f>
        <v>1.9662264838546583E-3</v>
      </c>
      <c r="V13" s="7">
        <f>$B13 * IFERROR(VLOOKUP("transport|SO2|Non-fatal heart attacks", US_national_yearly!$D:$AM, 30, FALSE) / VLOOKUP("transport|SO2|Non-fatal heart attacks", US_national_yearly!$D:$AM, 10, FALSE), 1)</f>
        <v>1.976993623901897E-3</v>
      </c>
      <c r="W13" s="7">
        <f>$B13 * IFERROR(VLOOKUP("transport|SO2|Non-fatal heart attacks", US_national_yearly!$D:$AM, 31, FALSE) / VLOOKUP("transport|SO2|Non-fatal heart attacks", US_national_yearly!$D:$AM, 10, FALSE), 1)</f>
        <v>1.9877607639491365E-3</v>
      </c>
      <c r="X13" s="7">
        <f>$B13 * IFERROR(VLOOKUP("transport|SO2|Non-fatal heart attacks", US_national_yearly!$D:$AM, 32, FALSE) / VLOOKUP("transport|SO2|Non-fatal heart attacks", US_national_yearly!$D:$AM, 10, FALSE), 1)</f>
        <v>1.9958890128415961E-3</v>
      </c>
      <c r="Y13" s="7">
        <f>$B13 * IFERROR(VLOOKUP("transport|SO2|Non-fatal heart attacks", US_national_yearly!$D:$AM, 33, FALSE) / VLOOKUP("transport|SO2|Non-fatal heart attacks", US_national_yearly!$D:$AM, 10, FALSE), 1)</f>
        <v>2.0040172617340553E-3</v>
      </c>
      <c r="Z13" s="7">
        <f>$B13 * IFERROR(VLOOKUP("transport|SO2|Non-fatal heart attacks", US_national_yearly!$D:$AM, 34, FALSE) / VLOOKUP("transport|SO2|Non-fatal heart attacks", US_national_yearly!$D:$AM, 10, FALSE), 1)</f>
        <v>2.0121455106265145E-3</v>
      </c>
      <c r="AA13" s="7">
        <f>$B13 * IFERROR(VLOOKUP("transport|SO2|Non-fatal heart attacks", US_national_yearly!$D:$AM, 35, FALSE) / VLOOKUP("transport|SO2|Non-fatal heart attacks", US_national_yearly!$D:$AM, 10, FALSE), 1)</f>
        <v>2.0202737595189737E-3</v>
      </c>
      <c r="AB13" s="7">
        <f>$B13 * IFERROR(VLOOKUP("transport|SO2|Non-fatal heart attacks", US_national_yearly!$D:$AM, 36, FALSE) / VLOOKUP("transport|SO2|Non-fatal heart attacks", US_national_yearly!$D:$AM, 10, FALSE), 1)</f>
        <v>2.0284020084114329E-3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0.87406236260946135</v>
      </c>
      <c r="C14" s="7">
        <f>$B14 * IFERROR(VLOOKUP("transport|SO2|Minor restricted activity days", US_national_yearly!$D:$AM, 11, FALSE) / VLOOKUP("transport|SO2|Minor restricted activity days", US_national_yearly!$D:$AM, 10, FALSE), 1)</f>
        <v>0.87626558259473131</v>
      </c>
      <c r="D14" s="7">
        <f>$B14 * IFERROR(VLOOKUP("transport|SO2|Minor restricted activity days", US_national_yearly!$D:$AM, 12, FALSE) / VLOOKUP("transport|SO2|Minor restricted activity days", US_national_yearly!$D:$AM, 10, FALSE), 1)</f>
        <v>0.87846880258000104</v>
      </c>
      <c r="E14" s="7">
        <f>$B14 * IFERROR(VLOOKUP("transport|SO2|Minor restricted activity days", US_national_yearly!$D:$AM, 13, FALSE) / VLOOKUP("transport|SO2|Minor restricted activity days", US_national_yearly!$D:$AM, 10, FALSE), 1)</f>
        <v>0.880672022565271</v>
      </c>
      <c r="F14" s="7">
        <f>$B14 * IFERROR(VLOOKUP("transport|SO2|Minor restricted activity days", US_national_yearly!$D:$AM, 14, FALSE) / VLOOKUP("transport|SO2|Minor restricted activity days", US_national_yearly!$D:$AM, 10, FALSE), 1)</f>
        <v>0.88287524255054073</v>
      </c>
      <c r="G14" s="7">
        <f>$B14 * IFERROR(VLOOKUP("transport|SO2|Minor restricted activity days", US_national_yearly!$D:$AM, 15, FALSE) / VLOOKUP("transport|SO2|Minor restricted activity days", US_national_yearly!$D:$AM, 10, FALSE), 1)</f>
        <v>0.88611816592331794</v>
      </c>
      <c r="H14" s="7">
        <f>$B14 * IFERROR(VLOOKUP("transport|SO2|Minor restricted activity days", US_national_yearly!$D:$AM, 16, FALSE) / VLOOKUP("transport|SO2|Minor restricted activity days", US_national_yearly!$D:$AM, 10, FALSE), 1)</f>
        <v>0.88936108929609514</v>
      </c>
      <c r="I14" s="7">
        <f>$B14 * IFERROR(VLOOKUP("transport|SO2|Minor restricted activity days", US_national_yearly!$D:$AM, 17, FALSE) / VLOOKUP("transport|SO2|Minor restricted activity days", US_national_yearly!$D:$AM, 10, FALSE), 1)</f>
        <v>0.89489159283249275</v>
      </c>
      <c r="J14" s="7">
        <f>$B14 * IFERROR(VLOOKUP("transport|SO2|Minor restricted activity days", US_national_yearly!$D:$AM, 18, FALSE) / VLOOKUP("transport|SO2|Minor restricted activity days", US_national_yearly!$D:$AM, 10, FALSE), 1)</f>
        <v>0.90042209636889037</v>
      </c>
      <c r="K14" s="7">
        <f>$B14 * IFERROR(VLOOKUP("transport|SO2|Minor restricted activity days", US_national_yearly!$D:$AM, 19, FALSE) / VLOOKUP("transport|SO2|Minor restricted activity days", US_national_yearly!$D:$AM, 10, FALSE), 1)</f>
        <v>0.90595259990528809</v>
      </c>
      <c r="L14" s="7">
        <f>$B14 * IFERROR(VLOOKUP("transport|SO2|Minor restricted activity days", US_national_yearly!$D:$AM, 20, FALSE) / VLOOKUP("transport|SO2|Minor restricted activity days", US_national_yearly!$D:$AM, 10, FALSE), 1)</f>
        <v>0.9114831034416857</v>
      </c>
      <c r="M14" s="7">
        <f>$B14 * IFERROR(VLOOKUP("transport|SO2|Minor restricted activity days", US_national_yearly!$D:$AM, 21, FALSE) / VLOOKUP("transport|SO2|Minor restricted activity days", US_national_yearly!$D:$AM, 10, FALSE), 1)</f>
        <v>0.91701360697808332</v>
      </c>
      <c r="N14" s="7">
        <f>$B14 * IFERROR(VLOOKUP("transport|SO2|Minor restricted activity days", US_national_yearly!$D:$AM, 22, FALSE) / VLOOKUP("transport|SO2|Minor restricted activity days", US_national_yearly!$D:$AM, 10, FALSE), 1)</f>
        <v>0.92457844839692771</v>
      </c>
      <c r="O14" s="7">
        <f>$B14 * IFERROR(VLOOKUP("transport|SO2|Minor restricted activity days", US_national_yearly!$D:$AM, 23, FALSE) / VLOOKUP("transport|SO2|Minor restricted activity days", US_national_yearly!$D:$AM, 10, FALSE), 1)</f>
        <v>0.9321432898157721</v>
      </c>
      <c r="P14" s="7">
        <f>$B14 * IFERROR(VLOOKUP("transport|SO2|Minor restricted activity days", US_national_yearly!$D:$AM, 24, FALSE) / VLOOKUP("transport|SO2|Minor restricted activity days", US_national_yearly!$D:$AM, 10, FALSE), 1)</f>
        <v>0.93970813123461661</v>
      </c>
      <c r="Q14" s="7">
        <f>$B14 * IFERROR(VLOOKUP("transport|SO2|Minor restricted activity days", US_national_yearly!$D:$AM, 25, FALSE) / VLOOKUP("transport|SO2|Minor restricted activity days", US_national_yearly!$D:$AM, 10, FALSE), 1)</f>
        <v>0.947272972653461</v>
      </c>
      <c r="R14" s="7">
        <f>$B14 * IFERROR(VLOOKUP("transport|SO2|Minor restricted activity days", US_national_yearly!$D:$AM, 26, FALSE) / VLOOKUP("transport|SO2|Minor restricted activity days", US_national_yearly!$D:$AM, 10, FALSE), 1)</f>
        <v>0.9548378140723055</v>
      </c>
      <c r="S14" s="7">
        <f>$B14 * IFERROR(VLOOKUP("transport|SO2|Minor restricted activity days", US_national_yearly!$D:$AM, 27, FALSE) / VLOOKUP("transport|SO2|Minor restricted activity days", US_national_yearly!$D:$AM, 10, FALSE), 1)</f>
        <v>0.9625509102995381</v>
      </c>
      <c r="T14" s="7">
        <f>$B14 * IFERROR(VLOOKUP("transport|SO2|Minor restricted activity days", US_national_yearly!$D:$AM, 28, FALSE) / VLOOKUP("transport|SO2|Minor restricted activity days", US_national_yearly!$D:$AM, 10, FALSE), 1)</f>
        <v>0.97026400652677081</v>
      </c>
      <c r="U14" s="7">
        <f>$B14 * IFERROR(VLOOKUP("transport|SO2|Minor restricted activity days", US_national_yearly!$D:$AM, 29, FALSE) / VLOOKUP("transport|SO2|Minor restricted activity days", US_national_yearly!$D:$AM, 10, FALSE), 1)</f>
        <v>0.9779771027540034</v>
      </c>
      <c r="V14" s="7">
        <f>$B14 * IFERROR(VLOOKUP("transport|SO2|Minor restricted activity days", US_national_yearly!$D:$AM, 30, FALSE) / VLOOKUP("transport|SO2|Minor restricted activity days", US_national_yearly!$D:$AM, 10, FALSE), 1)</f>
        <v>0.98569019898123611</v>
      </c>
      <c r="W14" s="7">
        <f>$B14 * IFERROR(VLOOKUP("transport|SO2|Minor restricted activity days", US_national_yearly!$D:$AM, 31, FALSE) / VLOOKUP("transport|SO2|Minor restricted activity days", US_national_yearly!$D:$AM, 10, FALSE), 1)</f>
        <v>0.99340329520846893</v>
      </c>
      <c r="X14" s="7">
        <f>$B14 * IFERROR(VLOOKUP("transport|SO2|Minor restricted activity days", US_national_yearly!$D:$AM, 32, FALSE) / VLOOKUP("transport|SO2|Minor restricted activity days", US_national_yearly!$D:$AM, 10, FALSE), 1)</f>
        <v>1.0001863486928109</v>
      </c>
      <c r="Y14" s="7">
        <f>$B14 * IFERROR(VLOOKUP("transport|SO2|Minor restricted activity days", US_national_yearly!$D:$AM, 33, FALSE) / VLOOKUP("transport|SO2|Minor restricted activity days", US_national_yearly!$D:$AM, 10, FALSE), 1)</f>
        <v>1.0069694021771527</v>
      </c>
      <c r="Z14" s="7">
        <f>$B14 * IFERROR(VLOOKUP("transport|SO2|Minor restricted activity days", US_national_yearly!$D:$AM, 34, FALSE) / VLOOKUP("transport|SO2|Minor restricted activity days", US_national_yearly!$D:$AM, 10, FALSE), 1)</f>
        <v>1.0137524556614947</v>
      </c>
      <c r="AA14" s="7">
        <f>$B14 * IFERROR(VLOOKUP("transport|SO2|Minor restricted activity days", US_national_yearly!$D:$AM, 35, FALSE) / VLOOKUP("transport|SO2|Minor restricted activity days", US_national_yearly!$D:$AM, 10, FALSE), 1)</f>
        <v>1.0205355091458368</v>
      </c>
      <c r="AB14" s="7">
        <f>$B14 * IFERROR(VLOOKUP("transport|SO2|Minor restricted activity days", US_national_yearly!$D:$AM, 36, FALSE) / VLOOKUP("transport|SO2|Minor restricted activity days", US_national_yearly!$D:$AM, 10, FALSE), 1)</f>
        <v>1.0273185626301788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0.14828633570977134</v>
      </c>
      <c r="C15" s="7">
        <f>$B15 * IFERROR(VLOOKUP("transport|SO2|Work loss days", US_national_yearly!$D:$AM, 11, FALSE) / VLOOKUP("transport|SO2|Work loss days", US_national_yearly!$D:$AM, 10, FALSE), 1)</f>
        <v>0.14876675986944266</v>
      </c>
      <c r="D15" s="7">
        <f>$B15 * IFERROR(VLOOKUP("transport|SO2|Work loss days", US_national_yearly!$D:$AM, 12, FALSE) / VLOOKUP("transport|SO2|Work loss days", US_national_yearly!$D:$AM, 10, FALSE), 1)</f>
        <v>0.14924718402911394</v>
      </c>
      <c r="E15" s="7">
        <f>$B15 * IFERROR(VLOOKUP("transport|SO2|Work loss days", US_national_yearly!$D:$AM, 13, FALSE) / VLOOKUP("transport|SO2|Work loss days", US_national_yearly!$D:$AM, 10, FALSE), 1)</f>
        <v>0.14972760818878525</v>
      </c>
      <c r="F15" s="7">
        <f>$B15 * IFERROR(VLOOKUP("transport|SO2|Work loss days", US_national_yearly!$D:$AM, 14, FALSE) / VLOOKUP("transport|SO2|Work loss days", US_national_yearly!$D:$AM, 10, FALSE), 1)</f>
        <v>0.15020803234845653</v>
      </c>
      <c r="G15" s="7">
        <f>$B15 * IFERROR(VLOOKUP("transport|SO2|Work loss days", US_national_yearly!$D:$AM, 15, FALSE) / VLOOKUP("transport|SO2|Work loss days", US_national_yearly!$D:$AM, 10, FALSE), 1)</f>
        <v>0.15083576529672021</v>
      </c>
      <c r="H15" s="7">
        <f>$B15 * IFERROR(VLOOKUP("transport|SO2|Work loss days", US_national_yearly!$D:$AM, 16, FALSE) / VLOOKUP("transport|SO2|Work loss days", US_national_yearly!$D:$AM, 10, FALSE), 1)</f>
        <v>0.15146349824498387</v>
      </c>
      <c r="I15" s="7">
        <f>$B15 * IFERROR(VLOOKUP("transport|SO2|Work loss days", US_national_yearly!$D:$AM, 17, FALSE) / VLOOKUP("transport|SO2|Work loss days", US_national_yearly!$D:$AM, 10, FALSE), 1)</f>
        <v>0.15238178728122473</v>
      </c>
      <c r="J15" s="7">
        <f>$B15 * IFERROR(VLOOKUP("transport|SO2|Work loss days", US_national_yearly!$D:$AM, 18, FALSE) / VLOOKUP("transport|SO2|Work loss days", US_national_yearly!$D:$AM, 10, FALSE), 1)</f>
        <v>0.15330007631746556</v>
      </c>
      <c r="K15" s="7">
        <f>$B15 * IFERROR(VLOOKUP("transport|SO2|Work loss days", US_national_yearly!$D:$AM, 19, FALSE) / VLOOKUP("transport|SO2|Work loss days", US_national_yearly!$D:$AM, 10, FALSE), 1)</f>
        <v>0.15421836535370642</v>
      </c>
      <c r="L15" s="7">
        <f>$B15 * IFERROR(VLOOKUP("transport|SO2|Work loss days", US_national_yearly!$D:$AM, 20, FALSE) / VLOOKUP("transport|SO2|Work loss days", US_national_yearly!$D:$AM, 10, FALSE), 1)</f>
        <v>0.15513665438994728</v>
      </c>
      <c r="M15" s="7">
        <f>$B15 * IFERROR(VLOOKUP("transport|SO2|Work loss days", US_national_yearly!$D:$AM, 21, FALSE) / VLOOKUP("transport|SO2|Work loss days", US_national_yearly!$D:$AM, 10, FALSE), 1)</f>
        <v>0.15605494342618811</v>
      </c>
      <c r="N15" s="7">
        <f>$B15 * IFERROR(VLOOKUP("transport|SO2|Work loss days", US_national_yearly!$D:$AM, 22, FALSE) / VLOOKUP("transport|SO2|Work loss days", US_national_yearly!$D:$AM, 10, FALSE), 1)</f>
        <v>0.15720632906836493</v>
      </c>
      <c r="O15" s="7">
        <f>$B15 * IFERROR(VLOOKUP("transport|SO2|Work loss days", US_national_yearly!$D:$AM, 23, FALSE) / VLOOKUP("transport|SO2|Work loss days", US_national_yearly!$D:$AM, 10, FALSE), 1)</f>
        <v>0.15835771471054172</v>
      </c>
      <c r="P15" s="7">
        <f>$B15 * IFERROR(VLOOKUP("transport|SO2|Work loss days", US_national_yearly!$D:$AM, 24, FALSE) / VLOOKUP("transport|SO2|Work loss days", US_national_yearly!$D:$AM, 10, FALSE), 1)</f>
        <v>0.15950910035271848</v>
      </c>
      <c r="Q15" s="7">
        <f>$B15 * IFERROR(VLOOKUP("transport|SO2|Work loss days", US_national_yearly!$D:$AM, 25, FALSE) / VLOOKUP("transport|SO2|Work loss days", US_national_yearly!$D:$AM, 10, FALSE), 1)</f>
        <v>0.16066048599489527</v>
      </c>
      <c r="R15" s="7">
        <f>$B15 * IFERROR(VLOOKUP("transport|SO2|Work loss days", US_national_yearly!$D:$AM, 26, FALSE) / VLOOKUP("transport|SO2|Work loss days", US_national_yearly!$D:$AM, 10, FALSE), 1)</f>
        <v>0.16181187163707206</v>
      </c>
      <c r="S15" s="7">
        <f>$B15 * IFERROR(VLOOKUP("transport|SO2|Work loss days", US_national_yearly!$D:$AM, 27, FALSE) / VLOOKUP("transport|SO2|Work loss days", US_national_yearly!$D:$AM, 10, FALSE), 1)</f>
        <v>0.16309854129613466</v>
      </c>
      <c r="T15" s="7">
        <f>$B15 * IFERROR(VLOOKUP("transport|SO2|Work loss days", US_national_yearly!$D:$AM, 28, FALSE) / VLOOKUP("transport|SO2|Work loss days", US_national_yearly!$D:$AM, 10, FALSE), 1)</f>
        <v>0.16438521095519726</v>
      </c>
      <c r="U15" s="7">
        <f>$B15 * IFERROR(VLOOKUP("transport|SO2|Work loss days", US_national_yearly!$D:$AM, 29, FALSE) / VLOOKUP("transport|SO2|Work loss days", US_national_yearly!$D:$AM, 10, FALSE), 1)</f>
        <v>0.16567188061425986</v>
      </c>
      <c r="V15" s="7">
        <f>$B15 * IFERROR(VLOOKUP("transport|SO2|Work loss days", US_national_yearly!$D:$AM, 30, FALSE) / VLOOKUP("transport|SO2|Work loss days", US_national_yearly!$D:$AM, 10, FALSE), 1)</f>
        <v>0.16695855027332243</v>
      </c>
      <c r="W15" s="7">
        <f>$B15 * IFERROR(VLOOKUP("transport|SO2|Work loss days", US_national_yearly!$D:$AM, 31, FALSE) / VLOOKUP("transport|SO2|Work loss days", US_national_yearly!$D:$AM, 10, FALSE), 1)</f>
        <v>0.16824521993238506</v>
      </c>
      <c r="X15" s="7">
        <f>$B15 * IFERROR(VLOOKUP("transport|SO2|Work loss days", US_national_yearly!$D:$AM, 32, FALSE) / VLOOKUP("transport|SO2|Work loss days", US_national_yearly!$D:$AM, 10, FALSE), 1)</f>
        <v>0.16940047193603236</v>
      </c>
      <c r="Y15" s="7">
        <f>$B15 * IFERROR(VLOOKUP("transport|SO2|Work loss days", US_national_yearly!$D:$AM, 33, FALSE) / VLOOKUP("transport|SO2|Work loss days", US_national_yearly!$D:$AM, 10, FALSE), 1)</f>
        <v>0.17055572393967966</v>
      </c>
      <c r="Z15" s="7">
        <f>$B15 * IFERROR(VLOOKUP("transport|SO2|Work loss days", US_national_yearly!$D:$AM, 34, FALSE) / VLOOKUP("transport|SO2|Work loss days", US_national_yearly!$D:$AM, 10, FALSE), 1)</f>
        <v>0.17171097594332699</v>
      </c>
      <c r="AA15" s="7">
        <f>$B15 * IFERROR(VLOOKUP("transport|SO2|Work loss days", US_national_yearly!$D:$AM, 35, FALSE) / VLOOKUP("transport|SO2|Work loss days", US_national_yearly!$D:$AM, 10, FALSE), 1)</f>
        <v>0.17286622794697432</v>
      </c>
      <c r="AB15" s="7">
        <f>$B15 * IFERROR(VLOOKUP("transport|SO2|Work loss days", US_national_yearly!$D:$AM, 36, FALSE) / VLOOKUP("transport|SO2|Work loss days", US_national_yearly!$D:$AM, 10, FALSE), 1)</f>
        <v>0.17402147995062164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3.5917623674098652E-4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3.7003910157733466E-4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3.8090196641368281E-4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3.9176483125003095E-4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4.0262769608637915E-4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4.1303328770260186E-4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4.2343887931882467E-4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4.3235444070045023E-4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4.4127000208207584E-4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4.501855634637014E-4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4.5910112484532696E-4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4.680166862269524E-4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4.7400591260171457E-4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4.7999513897647669E-4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4.8598436535123881E-4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4.9197359172600092E-4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4.9796281810076304E-4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5.0111272474057176E-4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5.0426263138038038E-4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5.0741253802018911E-4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5.1056244465999784E-4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5.1371235129980656E-4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5.158269877550681E-4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5.1794162421032975E-4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5.2005626066559129E-4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5.2217089712085294E-4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5.2428553357611448E-4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2.2690724046394131E-3</v>
      </c>
      <c r="C2" s="7">
        <f>$B2 * IFERROR(VLOOKUP("electricity|PM25|Premature mortality", US_national_yearly!$D:$AM, 11, FALSE) / VLOOKUP("electricity|PM25|Premature mortality", US_national_yearly!$D:$AM, 10, FALSE), 1)</f>
        <v>2.2971776748875058E-3</v>
      </c>
      <c r="D2" s="7">
        <f>$B2 * IFERROR(VLOOKUP("electricity|PM25|Premature mortality", US_national_yearly!$D:$AM, 12, FALSE) / VLOOKUP("electricity|PM25|Premature mortality", US_national_yearly!$D:$AM, 10, FALSE), 1)</f>
        <v>2.3252829451355984E-3</v>
      </c>
      <c r="E2" s="7">
        <f>$B2 * IFERROR(VLOOKUP("electricity|PM25|Premature mortality", US_national_yearly!$D:$AM, 13, FALSE) / VLOOKUP("electricity|PM25|Premature mortality", US_national_yearly!$D:$AM, 10, FALSE), 1)</f>
        <v>2.353388215383691E-3</v>
      </c>
      <c r="F2" s="7">
        <f>$B2 * IFERROR(VLOOKUP("electricity|PM25|Premature mortality", US_national_yearly!$D:$AM, 14, FALSE) / VLOOKUP("electricity|PM25|Premature mortality", US_national_yearly!$D:$AM, 10, FALSE), 1)</f>
        <v>2.3814934856317845E-3</v>
      </c>
      <c r="G2" s="7">
        <f>$B2 * IFERROR(VLOOKUP("electricity|PM25|Premature mortality", US_national_yearly!$D:$AM, 15, FALSE) / VLOOKUP("electricity|PM25|Premature mortality", US_national_yearly!$D:$AM, 10, FALSE), 1)</f>
        <v>2.4366937310843877E-3</v>
      </c>
      <c r="H2" s="7">
        <f>$B2 * IFERROR(VLOOKUP("electricity|PM25|Premature mortality", US_national_yearly!$D:$AM, 16, FALSE) / VLOOKUP("electricity|PM25|Premature mortality", US_national_yearly!$D:$AM, 10, FALSE), 1)</f>
        <v>2.4918939765369917E-3</v>
      </c>
      <c r="I2" s="7">
        <f>$B2 * IFERROR(VLOOKUP("electricity|PM25|Premature mortality", US_national_yearly!$D:$AM, 17, FALSE) / VLOOKUP("electricity|PM25|Premature mortality", US_national_yearly!$D:$AM, 10, FALSE), 1)</f>
        <v>2.5289834903480576E-3</v>
      </c>
      <c r="J2" s="7">
        <f>$B2 * IFERROR(VLOOKUP("electricity|PM25|Premature mortality", US_national_yearly!$D:$AM, 18, FALSE) / VLOOKUP("electricity|PM25|Premature mortality", US_national_yearly!$D:$AM, 10, FALSE), 1)</f>
        <v>2.5660730041591239E-3</v>
      </c>
      <c r="K2" s="7">
        <f>$B2 * IFERROR(VLOOKUP("electricity|PM25|Premature mortality", US_national_yearly!$D:$AM, 19, FALSE) / VLOOKUP("electricity|PM25|Premature mortality", US_national_yearly!$D:$AM, 10, FALSE), 1)</f>
        <v>2.6031625179701898E-3</v>
      </c>
      <c r="L2" s="7">
        <f>$B2 * IFERROR(VLOOKUP("electricity|PM25|Premature mortality", US_national_yearly!$D:$AM, 20, FALSE) / VLOOKUP("electricity|PM25|Premature mortality", US_national_yearly!$D:$AM, 10, FALSE), 1)</f>
        <v>2.6402520317812561E-3</v>
      </c>
      <c r="M2" s="7">
        <f>$B2 * IFERROR(VLOOKUP("electricity|PM25|Premature mortality", US_national_yearly!$D:$AM, 21, FALSE) / VLOOKUP("electricity|PM25|Premature mortality", US_national_yearly!$D:$AM, 10, FALSE), 1)</f>
        <v>2.6773415455923224E-3</v>
      </c>
      <c r="N2" s="7">
        <f>$B2 * IFERROR(VLOOKUP("electricity|PM25|Premature mortality", US_national_yearly!$D:$AM, 22, FALSE) / VLOOKUP("electricity|PM25|Premature mortality", US_national_yearly!$D:$AM, 10, FALSE), 1)</f>
        <v>2.7069060872447065E-3</v>
      </c>
      <c r="O2" s="7">
        <f>$B2 * IFERROR(VLOOKUP("electricity|PM25|Premature mortality", US_national_yearly!$D:$AM, 23, FALSE) / VLOOKUP("electricity|PM25|Premature mortality", US_national_yearly!$D:$AM, 10, FALSE), 1)</f>
        <v>2.7364706288970902E-3</v>
      </c>
      <c r="P2" s="7">
        <f>$B2 * IFERROR(VLOOKUP("electricity|PM25|Premature mortality", US_national_yearly!$D:$AM, 24, FALSE) / VLOOKUP("electricity|PM25|Premature mortality", US_national_yearly!$D:$AM, 10, FALSE), 1)</f>
        <v>2.7660351705494747E-3</v>
      </c>
      <c r="Q2" s="7">
        <f>$B2 * IFERROR(VLOOKUP("electricity|PM25|Premature mortality", US_national_yearly!$D:$AM, 25, FALSE) / VLOOKUP("electricity|PM25|Premature mortality", US_national_yearly!$D:$AM, 10, FALSE), 1)</f>
        <v>2.7955997122018584E-3</v>
      </c>
      <c r="R2" s="7">
        <f>$B2 * IFERROR(VLOOKUP("electricity|PM25|Premature mortality", US_national_yearly!$D:$AM, 26, FALSE) / VLOOKUP("electricity|PM25|Premature mortality", US_national_yearly!$D:$AM, 10, FALSE), 1)</f>
        <v>2.8251642538542425E-3</v>
      </c>
      <c r="S2" s="7">
        <f>$B2 * IFERROR(VLOOKUP("electricity|PM25|Premature mortality", US_national_yearly!$D:$AM, 27, FALSE) / VLOOKUP("electricity|PM25|Premature mortality", US_national_yearly!$D:$AM, 10, FALSE), 1)</f>
        <v>2.8420812430462344E-3</v>
      </c>
      <c r="T2" s="7">
        <f>$B2 * IFERROR(VLOOKUP("electricity|PM25|Premature mortality", US_national_yearly!$D:$AM, 28, FALSE) / VLOOKUP("electricity|PM25|Premature mortality", US_national_yearly!$D:$AM, 10, FALSE), 1)</f>
        <v>2.8589982322382258E-3</v>
      </c>
      <c r="U2" s="7">
        <f>$B2 * IFERROR(VLOOKUP("electricity|PM25|Premature mortality", US_national_yearly!$D:$AM, 29, FALSE) / VLOOKUP("electricity|PM25|Premature mortality", US_national_yearly!$D:$AM, 10, FALSE), 1)</f>
        <v>2.8759152214302176E-3</v>
      </c>
      <c r="V2" s="7">
        <f>$B2 * IFERROR(VLOOKUP("electricity|PM25|Premature mortality", US_national_yearly!$D:$AM, 30, FALSE) / VLOOKUP("electricity|PM25|Premature mortality", US_national_yearly!$D:$AM, 10, FALSE), 1)</f>
        <v>2.892832210622209E-3</v>
      </c>
      <c r="W2" s="7">
        <f>$B2 * IFERROR(VLOOKUP("electricity|PM25|Premature mortality", US_national_yearly!$D:$AM, 31, FALSE) / VLOOKUP("electricity|PM25|Premature mortality", US_national_yearly!$D:$AM, 10, FALSE), 1)</f>
        <v>2.9097491998142009E-3</v>
      </c>
      <c r="X2" s="7">
        <f>$B2 * IFERROR(VLOOKUP("electricity|PM25|Premature mortality", US_national_yearly!$D:$AM, 32, FALSE) / VLOOKUP("electricity|PM25|Premature mortality", US_national_yearly!$D:$AM, 10, FALSE), 1)</f>
        <v>2.9144486300333736E-3</v>
      </c>
      <c r="Y2" s="7">
        <f>$B2 * IFERROR(VLOOKUP("electricity|PM25|Premature mortality", US_national_yearly!$D:$AM, 33, FALSE) / VLOOKUP("electricity|PM25|Premature mortality", US_national_yearly!$D:$AM, 10, FALSE), 1)</f>
        <v>2.9191480602525463E-3</v>
      </c>
      <c r="Z2" s="7">
        <f>$B2 * IFERROR(VLOOKUP("electricity|PM25|Premature mortality", US_national_yearly!$D:$AM, 34, FALSE) / VLOOKUP("electricity|PM25|Premature mortality", US_national_yearly!$D:$AM, 10, FALSE), 1)</f>
        <v>2.9238474904717195E-3</v>
      </c>
      <c r="AA2" s="7">
        <f>$B2 * IFERROR(VLOOKUP("electricity|PM25|Premature mortality", US_national_yearly!$D:$AM, 35, FALSE) / VLOOKUP("electricity|PM25|Premature mortality", US_national_yearly!$D:$AM, 10, FALSE), 1)</f>
        <v>2.9285469206908926E-3</v>
      </c>
      <c r="AB2" s="7">
        <f>$B2 * IFERROR(VLOOKUP("electricity|PM25|Premature mortality", US_national_yearly!$D:$AM, 36, FALSE) / VLOOKUP("electricity|PM25|Premature mortality", US_national_yearly!$D:$AM, 10, FALSE), 1)</f>
        <v>2.9332463509100654E-3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5.455267657526575E-6</v>
      </c>
      <c r="C3" s="7">
        <f>$B3 * IFERROR(VLOOKUP("electricity|PM25|Infant mortality", US_national_yearly!$D:$AM, 11, FALSE) / VLOOKUP("electricity|PM25|Infant mortality", US_national_yearly!$D:$AM, 10, FALSE), 1)</f>
        <v>5.4077359241677712E-6</v>
      </c>
      <c r="D3" s="7">
        <f>$B3 * IFERROR(VLOOKUP("electricity|PM25|Infant mortality", US_national_yearly!$D:$AM, 12, FALSE) / VLOOKUP("electricity|PM25|Infant mortality", US_national_yearly!$D:$AM, 10, FALSE), 1)</f>
        <v>5.3602041908089682E-6</v>
      </c>
      <c r="E3" s="7">
        <f>$B3 * IFERROR(VLOOKUP("electricity|PM25|Infant mortality", US_national_yearly!$D:$AM, 13, FALSE) / VLOOKUP("electricity|PM25|Infant mortality", US_national_yearly!$D:$AM, 10, FALSE), 1)</f>
        <v>5.3126724574501653E-6</v>
      </c>
      <c r="F3" s="7">
        <f>$B3 * IFERROR(VLOOKUP("electricity|PM25|Infant mortality", US_national_yearly!$D:$AM, 14, FALSE) / VLOOKUP("electricity|PM25|Infant mortality", US_national_yearly!$D:$AM, 10, FALSE), 1)</f>
        <v>5.2651407240913615E-6</v>
      </c>
      <c r="G3" s="7">
        <f>$B3 * IFERROR(VLOOKUP("electricity|PM25|Infant mortality", US_national_yearly!$D:$AM, 15, FALSE) / VLOOKUP("electricity|PM25|Infant mortality", US_national_yearly!$D:$AM, 10, FALSE), 1)</f>
        <v>3.491677222122659E-6</v>
      </c>
      <c r="H3" s="7">
        <f>$B3 * IFERROR(VLOOKUP("electricity|PM25|Infant mortality", US_national_yearly!$D:$AM, 16, FALSE) / VLOOKUP("electricity|PM25|Infant mortality", US_national_yearly!$D:$AM, 10, FALSE), 1)</f>
        <v>1.7182137201539568E-6</v>
      </c>
      <c r="I3" s="7">
        <f>$B3 * IFERROR(VLOOKUP("electricity|PM25|Infant mortality", US_national_yearly!$D:$AM, 17, FALSE) / VLOOKUP("electricity|PM25|Infant mortality", US_national_yearly!$D:$AM, 10, FALSE), 1)</f>
        <v>1.7060823439623288E-6</v>
      </c>
      <c r="J3" s="7">
        <f>$B3 * IFERROR(VLOOKUP("electricity|PM25|Infant mortality", US_national_yearly!$D:$AM, 18, FALSE) / VLOOKUP("electricity|PM25|Infant mortality", US_national_yearly!$D:$AM, 10, FALSE), 1)</f>
        <v>1.6939509677707014E-6</v>
      </c>
      <c r="K3" s="7">
        <f>$B3 * IFERROR(VLOOKUP("electricity|PM25|Infant mortality", US_national_yearly!$D:$AM, 19, FALSE) / VLOOKUP("electricity|PM25|Infant mortality", US_national_yearly!$D:$AM, 10, FALSE), 1)</f>
        <v>1.6818195915790732E-6</v>
      </c>
      <c r="L3" s="7">
        <f>$B3 * IFERROR(VLOOKUP("electricity|PM25|Infant mortality", US_national_yearly!$D:$AM, 20, FALSE) / VLOOKUP("electricity|PM25|Infant mortality", US_national_yearly!$D:$AM, 10, FALSE), 1)</f>
        <v>1.6696882153874456E-6</v>
      </c>
      <c r="M3" s="7">
        <f>$B3 * IFERROR(VLOOKUP("electricity|PM25|Infant mortality", US_national_yearly!$D:$AM, 21, FALSE) / VLOOKUP("electricity|PM25|Infant mortality", US_national_yearly!$D:$AM, 10, FALSE), 1)</f>
        <v>1.6575568391958178E-6</v>
      </c>
      <c r="N3" s="7">
        <f>$B3 * IFERROR(VLOOKUP("electricity|PM25|Infant mortality", US_national_yearly!$D:$AM, 22, FALSE) / VLOOKUP("electricity|PM25|Infant mortality", US_national_yearly!$D:$AM, 10, FALSE), 1)</f>
        <v>1.6497547536497591E-6</v>
      </c>
      <c r="O3" s="7">
        <f>$B3 * IFERROR(VLOOKUP("electricity|PM25|Infant mortality", US_national_yearly!$D:$AM, 23, FALSE) / VLOOKUP("electricity|PM25|Infant mortality", US_national_yearly!$D:$AM, 10, FALSE), 1)</f>
        <v>1.6419526681037005E-6</v>
      </c>
      <c r="P3" s="7">
        <f>$B3 * IFERROR(VLOOKUP("electricity|PM25|Infant mortality", US_national_yearly!$D:$AM, 24, FALSE) / VLOOKUP("electricity|PM25|Infant mortality", US_national_yearly!$D:$AM, 10, FALSE), 1)</f>
        <v>1.6341505825576417E-6</v>
      </c>
      <c r="Q3" s="7">
        <f>$B3 * IFERROR(VLOOKUP("electricity|PM25|Infant mortality", US_national_yearly!$D:$AM, 25, FALSE) / VLOOKUP("electricity|PM25|Infant mortality", US_national_yearly!$D:$AM, 10, FALSE), 1)</f>
        <v>1.626348497011583E-6</v>
      </c>
      <c r="R3" s="7">
        <f>$B3 * IFERROR(VLOOKUP("electricity|PM25|Infant mortality", US_national_yearly!$D:$AM, 26, FALSE) / VLOOKUP("electricity|PM25|Infant mortality", US_national_yearly!$D:$AM, 10, FALSE), 1)</f>
        <v>1.618546411465524E-6</v>
      </c>
      <c r="S3" s="7">
        <f>$B3 * IFERROR(VLOOKUP("electricity|PM25|Infant mortality", US_national_yearly!$D:$AM, 27, FALSE) / VLOOKUP("electricity|PM25|Infant mortality", US_national_yearly!$D:$AM, 10, FALSE), 1)</f>
        <v>1.6091993386319072E-6</v>
      </c>
      <c r="T3" s="7">
        <f>$B3 * IFERROR(VLOOKUP("electricity|PM25|Infant mortality", US_national_yearly!$D:$AM, 28, FALSE) / VLOOKUP("electricity|PM25|Infant mortality", US_national_yearly!$D:$AM, 10, FALSE), 1)</f>
        <v>1.5998522657982905E-6</v>
      </c>
      <c r="U3" s="7">
        <f>$B3 * IFERROR(VLOOKUP("electricity|PM25|Infant mortality", US_national_yearly!$D:$AM, 29, FALSE) / VLOOKUP("electricity|PM25|Infant mortality", US_national_yearly!$D:$AM, 10, FALSE), 1)</f>
        <v>1.5905051929646742E-6</v>
      </c>
      <c r="V3" s="7">
        <f>$B3 * IFERROR(VLOOKUP("electricity|PM25|Infant mortality", US_national_yearly!$D:$AM, 30, FALSE) / VLOOKUP("electricity|PM25|Infant mortality", US_national_yearly!$D:$AM, 10, FALSE), 1)</f>
        <v>1.5811581201310575E-6</v>
      </c>
      <c r="W3" s="7">
        <f>$B3 * IFERROR(VLOOKUP("electricity|PM25|Infant mortality", US_national_yearly!$D:$AM, 31, FALSE) / VLOOKUP("electricity|PM25|Infant mortality", US_national_yearly!$D:$AM, 10, FALSE), 1)</f>
        <v>1.5718110472974408E-6</v>
      </c>
      <c r="X3" s="7">
        <f>$B3 * IFERROR(VLOOKUP("electricity|PM25|Infant mortality", US_national_yearly!$D:$AM, 32, FALSE) / VLOOKUP("electricity|PM25|Infant mortality", US_national_yearly!$D:$AM, 10, FALSE), 1)</f>
        <v>1.5621520145592847E-6</v>
      </c>
      <c r="Y3" s="7">
        <f>$B3 * IFERROR(VLOOKUP("electricity|PM25|Infant mortality", US_national_yearly!$D:$AM, 33, FALSE) / VLOOKUP("electricity|PM25|Infant mortality", US_national_yearly!$D:$AM, 10, FALSE), 1)</f>
        <v>1.5524929818211286E-6</v>
      </c>
      <c r="Z3" s="7">
        <f>$B3 * IFERROR(VLOOKUP("electricity|PM25|Infant mortality", US_national_yearly!$D:$AM, 34, FALSE) / VLOOKUP("electricity|PM25|Infant mortality", US_national_yearly!$D:$AM, 10, FALSE), 1)</f>
        <v>1.5428339490829725E-6</v>
      </c>
      <c r="AA3" s="7">
        <f>$B3 * IFERROR(VLOOKUP("electricity|PM25|Infant mortality", US_national_yearly!$D:$AM, 35, FALSE) / VLOOKUP("electricity|PM25|Infant mortality", US_national_yearly!$D:$AM, 10, FALSE), 1)</f>
        <v>1.5331749163448164E-6</v>
      </c>
      <c r="AB3" s="7">
        <f>$B3 * IFERROR(VLOOKUP("electricity|PM25|Infant mortality", US_national_yearly!$D:$AM, 36, FALSE) / VLOOKUP("electricity|PM25|Infant mortality", US_national_yearly!$D:$AM, 10, FALSE), 1)</f>
        <v>1.5235158836066603E-6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5.4026442804443447E-3</v>
      </c>
      <c r="C6" s="7">
        <f>$B6 * IFERROR(VLOOKUP("electricity|PM25|Asthma symptoms cough", US_national_yearly!$D:$AM, 11, FALSE) / VLOOKUP("electricity|PM25|Asthma symptoms cough", US_national_yearly!$D:$AM, 10, FALSE), 1)</f>
        <v>5.4026442804443447E-3</v>
      </c>
      <c r="D6" s="7">
        <f>$B6 * IFERROR(VLOOKUP("electricity|PM25|Asthma symptoms cough", US_national_yearly!$D:$AM, 12, FALSE) / VLOOKUP("electricity|PM25|Asthma symptoms cough", US_national_yearly!$D:$AM, 10, FALSE), 1)</f>
        <v>5.4026442804443447E-3</v>
      </c>
      <c r="E6" s="7">
        <f>$B6 * IFERROR(VLOOKUP("electricity|PM25|Asthma symptoms cough", US_national_yearly!$D:$AM, 13, FALSE) / VLOOKUP("electricity|PM25|Asthma symptoms cough", US_national_yearly!$D:$AM, 10, FALSE), 1)</f>
        <v>5.4026442804443447E-3</v>
      </c>
      <c r="F6" s="7">
        <f>$B6 * IFERROR(VLOOKUP("electricity|PM25|Asthma symptoms cough", US_national_yearly!$D:$AM, 14, FALSE) / VLOOKUP("electricity|PM25|Asthma symptoms cough", US_national_yearly!$D:$AM, 10, FALSE), 1)</f>
        <v>5.4026442804443447E-3</v>
      </c>
      <c r="G6" s="7">
        <f>$B6 * IFERROR(VLOOKUP("electricity|PM25|Asthma symptoms cough", US_national_yearly!$D:$AM, 15, FALSE) / VLOOKUP("electricity|PM25|Asthma symptoms cough", US_national_yearly!$D:$AM, 10, FALSE), 1)</f>
        <v>5.4026442804443447E-3</v>
      </c>
      <c r="H6" s="7">
        <f>$B6 * IFERROR(VLOOKUP("electricity|PM25|Asthma symptoms cough", US_national_yearly!$D:$AM, 16, FALSE) / VLOOKUP("electricity|PM25|Asthma symptoms cough", US_national_yearly!$D:$AM, 10, FALSE), 1)</f>
        <v>5.4026442804443447E-3</v>
      </c>
      <c r="I6" s="7">
        <f>$B6 * IFERROR(VLOOKUP("electricity|PM25|Asthma symptoms cough", US_national_yearly!$D:$AM, 17, FALSE) / VLOOKUP("electricity|PM25|Asthma symptoms cough", US_national_yearly!$D:$AM, 10, FALSE), 1)</f>
        <v>5.4026442804443447E-3</v>
      </c>
      <c r="J6" s="7">
        <f>$B6 * IFERROR(VLOOKUP("electricity|PM25|Asthma symptoms cough", US_national_yearly!$D:$AM, 18, FALSE) / VLOOKUP("electricity|PM25|Asthma symptoms cough", US_national_yearly!$D:$AM, 10, FALSE), 1)</f>
        <v>5.4026442804443447E-3</v>
      </c>
      <c r="K6" s="7">
        <f>$B6 * IFERROR(VLOOKUP("electricity|PM25|Asthma symptoms cough", US_national_yearly!$D:$AM, 19, FALSE) / VLOOKUP("electricity|PM25|Asthma symptoms cough", US_national_yearly!$D:$AM, 10, FALSE), 1)</f>
        <v>5.4026442804443447E-3</v>
      </c>
      <c r="L6" s="7">
        <f>$B6 * IFERROR(VLOOKUP("electricity|PM25|Asthma symptoms cough", US_national_yearly!$D:$AM, 20, FALSE) / VLOOKUP("electricity|PM25|Asthma symptoms cough", US_national_yearly!$D:$AM, 10, FALSE), 1)</f>
        <v>5.4026442804443447E-3</v>
      </c>
      <c r="M6" s="7">
        <f>$B6 * IFERROR(VLOOKUP("electricity|PM25|Asthma symptoms cough", US_national_yearly!$D:$AM, 21, FALSE) / VLOOKUP("electricity|PM25|Asthma symptoms cough", US_national_yearly!$D:$AM, 10, FALSE), 1)</f>
        <v>5.4026442804443447E-3</v>
      </c>
      <c r="N6" s="7">
        <f>$B6 * IFERROR(VLOOKUP("electricity|PM25|Asthma symptoms cough", US_national_yearly!$D:$AM, 22, FALSE) / VLOOKUP("electricity|PM25|Asthma symptoms cough", US_national_yearly!$D:$AM, 10, FALSE), 1)</f>
        <v>5.4026442804443447E-3</v>
      </c>
      <c r="O6" s="7">
        <f>$B6 * IFERROR(VLOOKUP("electricity|PM25|Asthma symptoms cough", US_national_yearly!$D:$AM, 23, FALSE) / VLOOKUP("electricity|PM25|Asthma symptoms cough", US_national_yearly!$D:$AM, 10, FALSE), 1)</f>
        <v>5.4026442804443447E-3</v>
      </c>
      <c r="P6" s="7">
        <f>$B6 * IFERROR(VLOOKUP("electricity|PM25|Asthma symptoms cough", US_national_yearly!$D:$AM, 24, FALSE) / VLOOKUP("electricity|PM25|Asthma symptoms cough", US_national_yearly!$D:$AM, 10, FALSE), 1)</f>
        <v>5.4026442804443447E-3</v>
      </c>
      <c r="Q6" s="7">
        <f>$B6 * IFERROR(VLOOKUP("electricity|PM25|Asthma symptoms cough", US_national_yearly!$D:$AM, 25, FALSE) / VLOOKUP("electricity|PM25|Asthma symptoms cough", US_national_yearly!$D:$AM, 10, FALSE), 1)</f>
        <v>5.4026442804443447E-3</v>
      </c>
      <c r="R6" s="7">
        <f>$B6 * IFERROR(VLOOKUP("electricity|PM25|Asthma symptoms cough", US_national_yearly!$D:$AM, 26, FALSE) / VLOOKUP("electricity|PM25|Asthma symptoms cough", US_national_yearly!$D:$AM, 10, FALSE), 1)</f>
        <v>5.4026442804443447E-3</v>
      </c>
      <c r="S6" s="7">
        <f>$B6 * IFERROR(VLOOKUP("electricity|PM25|Asthma symptoms cough", US_national_yearly!$D:$AM, 27, FALSE) / VLOOKUP("electricity|PM25|Asthma symptoms cough", US_national_yearly!$D:$AM, 10, FALSE), 1)</f>
        <v>5.4026442804443447E-3</v>
      </c>
      <c r="T6" s="7">
        <f>$B6 * IFERROR(VLOOKUP("electricity|PM25|Asthma symptoms cough", US_national_yearly!$D:$AM, 28, FALSE) / VLOOKUP("electricity|PM25|Asthma symptoms cough", US_national_yearly!$D:$AM, 10, FALSE), 1)</f>
        <v>5.4026442804443447E-3</v>
      </c>
      <c r="U6" s="7">
        <f>$B6 * IFERROR(VLOOKUP("electricity|PM25|Asthma symptoms cough", US_national_yearly!$D:$AM, 29, FALSE) / VLOOKUP("electricity|PM25|Asthma symptoms cough", US_national_yearly!$D:$AM, 10, FALSE), 1)</f>
        <v>5.4026442804443447E-3</v>
      </c>
      <c r="V6" s="7">
        <f>$B6 * IFERROR(VLOOKUP("electricity|PM25|Asthma symptoms cough", US_national_yearly!$D:$AM, 30, FALSE) / VLOOKUP("electricity|PM25|Asthma symptoms cough", US_national_yearly!$D:$AM, 10, FALSE), 1)</f>
        <v>5.4026442804443447E-3</v>
      </c>
      <c r="W6" s="7">
        <f>$B6 * IFERROR(VLOOKUP("electricity|PM25|Asthma symptoms cough", US_national_yearly!$D:$AM, 31, FALSE) / VLOOKUP("electricity|PM25|Asthma symptoms cough", US_national_yearly!$D:$AM, 10, FALSE), 1)</f>
        <v>5.4026442804443447E-3</v>
      </c>
      <c r="X6" s="7">
        <f>$B6 * IFERROR(VLOOKUP("electricity|PM25|Asthma symptoms cough", US_national_yearly!$D:$AM, 32, FALSE) / VLOOKUP("electricity|PM25|Asthma symptoms cough", US_national_yearly!$D:$AM, 10, FALSE), 1)</f>
        <v>5.4026442804443447E-3</v>
      </c>
      <c r="Y6" s="7">
        <f>$B6 * IFERROR(VLOOKUP("electricity|PM25|Asthma symptoms cough", US_national_yearly!$D:$AM, 33, FALSE) / VLOOKUP("electricity|PM25|Asthma symptoms cough", US_national_yearly!$D:$AM, 10, FALSE), 1)</f>
        <v>5.4026442804443447E-3</v>
      </c>
      <c r="Z6" s="7">
        <f>$B6 * IFERROR(VLOOKUP("electricity|PM25|Asthma symptoms cough", US_national_yearly!$D:$AM, 34, FALSE) / VLOOKUP("electricity|PM25|Asthma symptoms cough", US_national_yearly!$D:$AM, 10, FALSE), 1)</f>
        <v>5.4026442804443447E-3</v>
      </c>
      <c r="AA6" s="7">
        <f>$B6 * IFERROR(VLOOKUP("electricity|PM25|Asthma symptoms cough", US_national_yearly!$D:$AM, 35, FALSE) / VLOOKUP("electricity|PM25|Asthma symptoms cough", US_national_yearly!$D:$AM, 10, FALSE), 1)</f>
        <v>5.4026442804443447E-3</v>
      </c>
      <c r="AB6" s="7">
        <f>$B6 * IFERROR(VLOOKUP("electricity|PM25|Asthma symptoms cough", US_national_yearly!$D:$AM, 36, FALSE) / VLOOKUP("electricity|PM25|Asthma symptoms cough", US_national_yearly!$D:$AM, 10, FALSE), 1)</f>
        <v>5.4026442804443447E-3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7.2754340796317473E-3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7.2754340796317473E-3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7.2754340796317473E-3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7.2754340796317473E-3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7.2754340796317473E-3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7.2754340796317473E-3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7.2754340796317473E-3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7.2754340796317473E-3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7.2754340796317473E-3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7.2754340796317473E-3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7.2754340796317473E-3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7.2754340796317473E-3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7.2754340796317473E-3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7.2754340796317473E-3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7.2754340796317473E-3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7.2754340796317473E-3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7.2754340796317473E-3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7.2754340796317473E-3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7.2754340796317473E-3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7.2754340796317473E-3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7.2754340796317473E-3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7.2754340796317473E-3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7.2754340796317473E-3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7.2754340796317473E-3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7.2754340796317473E-3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7.2754340796317473E-3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7.2754340796317473E-3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1.1115667315885359E-2</v>
      </c>
      <c r="C8" s="7">
        <f>$B8 * IFERROR(VLOOKUP("electricity|PM25|Asthma symptoms wheeze", US_national_yearly!$D:$AM, 11, FALSE) / VLOOKUP("electricity|PM25|Asthma symptoms wheeze", US_national_yearly!$D:$AM, 10, FALSE), 1)</f>
        <v>1.1115667315885359E-2</v>
      </c>
      <c r="D8" s="7">
        <f>$B8 * IFERROR(VLOOKUP("electricity|PM25|Asthma symptoms wheeze", US_national_yearly!$D:$AM, 12, FALSE) / VLOOKUP("electricity|PM25|Asthma symptoms wheeze", US_national_yearly!$D:$AM, 10, FALSE), 1)</f>
        <v>1.1115667315885359E-2</v>
      </c>
      <c r="E8" s="7">
        <f>$B8 * IFERROR(VLOOKUP("electricity|PM25|Asthma symptoms wheeze", US_national_yearly!$D:$AM, 13, FALSE) / VLOOKUP("electricity|PM25|Asthma symptoms wheeze", US_national_yearly!$D:$AM, 10, FALSE), 1)</f>
        <v>1.1115667315885359E-2</v>
      </c>
      <c r="F8" s="7">
        <f>$B8 * IFERROR(VLOOKUP("electricity|PM25|Asthma symptoms wheeze", US_national_yearly!$D:$AM, 14, FALSE) / VLOOKUP("electricity|PM25|Asthma symptoms wheeze", US_national_yearly!$D:$AM, 10, FALSE), 1)</f>
        <v>1.1115667315885359E-2</v>
      </c>
      <c r="G8" s="7">
        <f>$B8 * IFERROR(VLOOKUP("electricity|PM25|Asthma symptoms wheeze", US_national_yearly!$D:$AM, 15, FALSE) / VLOOKUP("electricity|PM25|Asthma symptoms wheeze", US_national_yearly!$D:$AM, 10, FALSE), 1)</f>
        <v>1.1115667315885359E-2</v>
      </c>
      <c r="H8" s="7">
        <f>$B8 * IFERROR(VLOOKUP("electricity|PM25|Asthma symptoms wheeze", US_national_yearly!$D:$AM, 16, FALSE) / VLOOKUP("electricity|PM25|Asthma symptoms wheeze", US_national_yearly!$D:$AM, 10, FALSE), 1)</f>
        <v>1.1115667315885359E-2</v>
      </c>
      <c r="I8" s="7">
        <f>$B8 * IFERROR(VLOOKUP("electricity|PM25|Asthma symptoms wheeze", US_national_yearly!$D:$AM, 17, FALSE) / VLOOKUP("electricity|PM25|Asthma symptoms wheeze", US_national_yearly!$D:$AM, 10, FALSE), 1)</f>
        <v>1.1115667315885359E-2</v>
      </c>
      <c r="J8" s="7">
        <f>$B8 * IFERROR(VLOOKUP("electricity|PM25|Asthma symptoms wheeze", US_national_yearly!$D:$AM, 18, FALSE) / VLOOKUP("electricity|PM25|Asthma symptoms wheeze", US_national_yearly!$D:$AM, 10, FALSE), 1)</f>
        <v>1.1115667315885359E-2</v>
      </c>
      <c r="K8" s="7">
        <f>$B8 * IFERROR(VLOOKUP("electricity|PM25|Asthma symptoms wheeze", US_national_yearly!$D:$AM, 19, FALSE) / VLOOKUP("electricity|PM25|Asthma symptoms wheeze", US_national_yearly!$D:$AM, 10, FALSE), 1)</f>
        <v>1.1115667315885359E-2</v>
      </c>
      <c r="L8" s="7">
        <f>$B8 * IFERROR(VLOOKUP("electricity|PM25|Asthma symptoms wheeze", US_national_yearly!$D:$AM, 20, FALSE) / VLOOKUP("electricity|PM25|Asthma symptoms wheeze", US_national_yearly!$D:$AM, 10, FALSE), 1)</f>
        <v>1.1115667315885359E-2</v>
      </c>
      <c r="M8" s="7">
        <f>$B8 * IFERROR(VLOOKUP("electricity|PM25|Asthma symptoms wheeze", US_national_yearly!$D:$AM, 21, FALSE) / VLOOKUP("electricity|PM25|Asthma symptoms wheeze", US_national_yearly!$D:$AM, 10, FALSE), 1)</f>
        <v>1.1115667315885359E-2</v>
      </c>
      <c r="N8" s="7">
        <f>$B8 * IFERROR(VLOOKUP("electricity|PM25|Asthma symptoms wheeze", US_national_yearly!$D:$AM, 22, FALSE) / VLOOKUP("electricity|PM25|Asthma symptoms wheeze", US_national_yearly!$D:$AM, 10, FALSE), 1)</f>
        <v>1.1115667315885359E-2</v>
      </c>
      <c r="O8" s="7">
        <f>$B8 * IFERROR(VLOOKUP("electricity|PM25|Asthma symptoms wheeze", US_national_yearly!$D:$AM, 23, FALSE) / VLOOKUP("electricity|PM25|Asthma symptoms wheeze", US_national_yearly!$D:$AM, 10, FALSE), 1)</f>
        <v>1.1115667315885359E-2</v>
      </c>
      <c r="P8" s="7">
        <f>$B8 * IFERROR(VLOOKUP("electricity|PM25|Asthma symptoms wheeze", US_national_yearly!$D:$AM, 24, FALSE) / VLOOKUP("electricity|PM25|Asthma symptoms wheeze", US_national_yearly!$D:$AM, 10, FALSE), 1)</f>
        <v>1.1115667315885359E-2</v>
      </c>
      <c r="Q8" s="7">
        <f>$B8 * IFERROR(VLOOKUP("electricity|PM25|Asthma symptoms wheeze", US_national_yearly!$D:$AM, 25, FALSE) / VLOOKUP("electricity|PM25|Asthma symptoms wheeze", US_national_yearly!$D:$AM, 10, FALSE), 1)</f>
        <v>1.1115667315885359E-2</v>
      </c>
      <c r="R8" s="7">
        <f>$B8 * IFERROR(VLOOKUP("electricity|PM25|Asthma symptoms wheeze", US_national_yearly!$D:$AM, 26, FALSE) / VLOOKUP("electricity|PM25|Asthma symptoms wheeze", US_national_yearly!$D:$AM, 10, FALSE), 1)</f>
        <v>1.1115667315885359E-2</v>
      </c>
      <c r="S8" s="7">
        <f>$B8 * IFERROR(VLOOKUP("electricity|PM25|Asthma symptoms wheeze", US_national_yearly!$D:$AM, 27, FALSE) / VLOOKUP("electricity|PM25|Asthma symptoms wheeze", US_national_yearly!$D:$AM, 10, FALSE), 1)</f>
        <v>1.1115667315885359E-2</v>
      </c>
      <c r="T8" s="7">
        <f>$B8 * IFERROR(VLOOKUP("electricity|PM25|Asthma symptoms wheeze", US_national_yearly!$D:$AM, 28, FALSE) / VLOOKUP("electricity|PM25|Asthma symptoms wheeze", US_national_yearly!$D:$AM, 10, FALSE), 1)</f>
        <v>1.1115667315885359E-2</v>
      </c>
      <c r="U8" s="7">
        <f>$B8 * IFERROR(VLOOKUP("electricity|PM25|Asthma symptoms wheeze", US_national_yearly!$D:$AM, 29, FALSE) / VLOOKUP("electricity|PM25|Asthma symptoms wheeze", US_national_yearly!$D:$AM, 10, FALSE), 1)</f>
        <v>1.1115667315885359E-2</v>
      </c>
      <c r="V8" s="7">
        <f>$B8 * IFERROR(VLOOKUP("electricity|PM25|Asthma symptoms wheeze", US_national_yearly!$D:$AM, 30, FALSE) / VLOOKUP("electricity|PM25|Asthma symptoms wheeze", US_national_yearly!$D:$AM, 10, FALSE), 1)</f>
        <v>1.1115667315885359E-2</v>
      </c>
      <c r="W8" s="7">
        <f>$B8 * IFERROR(VLOOKUP("electricity|PM25|Asthma symptoms wheeze", US_national_yearly!$D:$AM, 31, FALSE) / VLOOKUP("electricity|PM25|Asthma symptoms wheeze", US_national_yearly!$D:$AM, 10, FALSE), 1)</f>
        <v>1.1115667315885359E-2</v>
      </c>
      <c r="X8" s="7">
        <f>$B8 * IFERROR(VLOOKUP("electricity|PM25|Asthma symptoms wheeze", US_national_yearly!$D:$AM, 32, FALSE) / VLOOKUP("electricity|PM25|Asthma symptoms wheeze", US_national_yearly!$D:$AM, 10, FALSE), 1)</f>
        <v>1.1115667315885359E-2</v>
      </c>
      <c r="Y8" s="7">
        <f>$B8 * IFERROR(VLOOKUP("electricity|PM25|Asthma symptoms wheeze", US_national_yearly!$D:$AM, 33, FALSE) / VLOOKUP("electricity|PM25|Asthma symptoms wheeze", US_national_yearly!$D:$AM, 10, FALSE), 1)</f>
        <v>1.1115667315885359E-2</v>
      </c>
      <c r="Z8" s="7">
        <f>$B8 * IFERROR(VLOOKUP("electricity|PM25|Asthma symptoms wheeze", US_national_yearly!$D:$AM, 34, FALSE) / VLOOKUP("electricity|PM25|Asthma symptoms wheeze", US_national_yearly!$D:$AM, 10, FALSE), 1)</f>
        <v>1.1115667315885359E-2</v>
      </c>
      <c r="AA8" s="7">
        <f>$B8 * IFERROR(VLOOKUP("electricity|PM25|Asthma symptoms wheeze", US_national_yearly!$D:$AM, 35, FALSE) / VLOOKUP("electricity|PM25|Asthma symptoms wheeze", US_national_yearly!$D:$AM, 10, FALSE), 1)</f>
        <v>1.1115667315885359E-2</v>
      </c>
      <c r="AB8" s="7">
        <f>$B8 * IFERROR(VLOOKUP("electricity|PM25|Asthma symptoms wheeze", US_national_yearly!$D:$AM, 36, FALSE) / VLOOKUP("electricity|PM25|Asthma symptoms wheeze", US_national_yearly!$D:$AM, 10, FALSE), 1)</f>
        <v>1.1115667315885359E-2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1.9546512019833449E-4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1.9653937270271846E-4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1.9761362520710234E-4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1.9868787771148635E-4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1.9976213021587023E-4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2.0091370249466961E-4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2.0206527477346898E-4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2.0309408696119502E-4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2.04122899148921E-4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2.0515171133664699E-4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2.0618052352437298E-4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2.0720933571209899E-4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2.079033060651515E-4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2.0859727641820404E-4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2.0929124677125657E-4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2.0998521712430905E-4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2.1067918747736159E-4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2.1132587079337247E-4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2.1197255410938329E-4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2.1261923742539414E-4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2.1326592074140499E-4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2.1391260405741579E-4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2.1455205070548941E-4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2.1519149735356298E-4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2.1583094400163657E-4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2.1647039064971014E-4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2.1710983729778376E-4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1.0645139742107865E-3</v>
      </c>
      <c r="C13" s="7">
        <f>$B13 * IFERROR(VLOOKUP("electricity|PM25|Non-fatal heart attacks", US_national_yearly!$D:$AM, 11, FALSE) / VLOOKUP("electricity|PM25|Non-fatal heart attacks", US_national_yearly!$D:$AM, 10, FALSE), 1)</f>
        <v>1.0953474318012935E-3</v>
      </c>
      <c r="D13" s="7">
        <f>$B13 * IFERROR(VLOOKUP("electricity|PM25|Non-fatal heart attacks", US_national_yearly!$D:$AM, 12, FALSE) / VLOOKUP("electricity|PM25|Non-fatal heart attacks", US_national_yearly!$D:$AM, 10, FALSE), 1)</f>
        <v>1.1261808893918007E-3</v>
      </c>
      <c r="E13" s="7">
        <f>$B13 * IFERROR(VLOOKUP("electricity|PM25|Non-fatal heart attacks", US_national_yearly!$D:$AM, 13, FALSE) / VLOOKUP("electricity|PM25|Non-fatal heart attacks", US_national_yearly!$D:$AM, 10, FALSE), 1)</f>
        <v>1.1570143469823075E-3</v>
      </c>
      <c r="F13" s="7">
        <f>$B13 * IFERROR(VLOOKUP("electricity|PM25|Non-fatal heart attacks", US_national_yearly!$D:$AM, 14, FALSE) / VLOOKUP("electricity|PM25|Non-fatal heart attacks", US_national_yearly!$D:$AM, 10, FALSE), 1)</f>
        <v>1.1878478045728147E-3</v>
      </c>
      <c r="G13" s="7">
        <f>$B13 * IFERROR(VLOOKUP("electricity|PM25|Non-fatal heart attacks", US_national_yearly!$D:$AM, 15, FALSE) / VLOOKUP("electricity|PM25|Non-fatal heart attacks", US_national_yearly!$D:$AM, 10, FALSE), 1)</f>
        <v>1.2171139048849193E-3</v>
      </c>
      <c r="H13" s="7">
        <f>$B13 * IFERROR(VLOOKUP("electricity|PM25|Non-fatal heart attacks", US_national_yearly!$D:$AM, 16, FALSE) / VLOOKUP("electricity|PM25|Non-fatal heart attacks", US_national_yearly!$D:$AM, 10, FALSE), 1)</f>
        <v>1.2463800051970236E-3</v>
      </c>
      <c r="I13" s="7">
        <f>$B13 * IFERROR(VLOOKUP("electricity|PM25|Non-fatal heart attacks", US_national_yearly!$D:$AM, 17, FALSE) / VLOOKUP("electricity|PM25|Non-fatal heart attacks", US_national_yearly!$D:$AM, 10, FALSE), 1)</f>
        <v>1.2702576880249321E-3</v>
      </c>
      <c r="J13" s="7">
        <f>$B13 * IFERROR(VLOOKUP("electricity|PM25|Non-fatal heart attacks", US_national_yearly!$D:$AM, 18, FALSE) / VLOOKUP("electricity|PM25|Non-fatal heart attacks", US_national_yearly!$D:$AM, 10, FALSE), 1)</f>
        <v>1.2941353708528403E-3</v>
      </c>
      <c r="K13" s="7">
        <f>$B13 * IFERROR(VLOOKUP("electricity|PM25|Non-fatal heart attacks", US_national_yearly!$D:$AM, 19, FALSE) / VLOOKUP("electricity|PM25|Non-fatal heart attacks", US_national_yearly!$D:$AM, 10, FALSE), 1)</f>
        <v>1.3180130536807485E-3</v>
      </c>
      <c r="L13" s="7">
        <f>$B13 * IFERROR(VLOOKUP("electricity|PM25|Non-fatal heart attacks", US_national_yearly!$D:$AM, 20, FALSE) / VLOOKUP("electricity|PM25|Non-fatal heart attacks", US_national_yearly!$D:$AM, 10, FALSE), 1)</f>
        <v>1.3418907365086565E-3</v>
      </c>
      <c r="M13" s="7">
        <f>$B13 * IFERROR(VLOOKUP("electricity|PM25|Non-fatal heart attacks", US_national_yearly!$D:$AM, 21, FALSE) / VLOOKUP("electricity|PM25|Non-fatal heart attacks", US_national_yearly!$D:$AM, 10, FALSE), 1)</f>
        <v>1.3657684193365651E-3</v>
      </c>
      <c r="N13" s="7">
        <f>$B13 * IFERROR(VLOOKUP("electricity|PM25|Non-fatal heart attacks", US_national_yearly!$D:$AM, 22, FALSE) / VLOOKUP("electricity|PM25|Non-fatal heart attacks", US_national_yearly!$D:$AM, 10, FALSE), 1)</f>
        <v>1.3812619530541362E-3</v>
      </c>
      <c r="O13" s="7">
        <f>$B13 * IFERROR(VLOOKUP("electricity|PM25|Non-fatal heart attacks", US_national_yearly!$D:$AM, 23, FALSE) / VLOOKUP("electricity|PM25|Non-fatal heart attacks", US_national_yearly!$D:$AM, 10, FALSE), 1)</f>
        <v>1.3967554867717073E-3</v>
      </c>
      <c r="P13" s="7">
        <f>$B13 * IFERROR(VLOOKUP("electricity|PM25|Non-fatal heart attacks", US_national_yearly!$D:$AM, 24, FALSE) / VLOOKUP("electricity|PM25|Non-fatal heart attacks", US_national_yearly!$D:$AM, 10, FALSE), 1)</f>
        <v>1.4122490204892782E-3</v>
      </c>
      <c r="Q13" s="7">
        <f>$B13 * IFERROR(VLOOKUP("electricity|PM25|Non-fatal heart attacks", US_national_yearly!$D:$AM, 25, FALSE) / VLOOKUP("electricity|PM25|Non-fatal heart attacks", US_national_yearly!$D:$AM, 10, FALSE), 1)</f>
        <v>1.4277425542068495E-3</v>
      </c>
      <c r="R13" s="7">
        <f>$B13 * IFERROR(VLOOKUP("electricity|PM25|Non-fatal heart attacks", US_national_yearly!$D:$AM, 26, FALSE) / VLOOKUP("electricity|PM25|Non-fatal heart attacks", US_national_yearly!$D:$AM, 10, FALSE), 1)</f>
        <v>1.4432360879244207E-3</v>
      </c>
      <c r="S13" s="7">
        <f>$B13 * IFERROR(VLOOKUP("electricity|PM25|Non-fatal heart attacks", US_national_yearly!$D:$AM, 27, FALSE) / VLOOKUP("electricity|PM25|Non-fatal heart attacks", US_national_yearly!$D:$AM, 10, FALSE), 1)</f>
        <v>1.4517656762679362E-3</v>
      </c>
      <c r="T13" s="7">
        <f>$B13 * IFERROR(VLOOKUP("electricity|PM25|Non-fatal heart attacks", US_national_yearly!$D:$AM, 28, FALSE) / VLOOKUP("electricity|PM25|Non-fatal heart attacks", US_national_yearly!$D:$AM, 10, FALSE), 1)</f>
        <v>1.4602952646114522E-3</v>
      </c>
      <c r="U13" s="7">
        <f>$B13 * IFERROR(VLOOKUP("electricity|PM25|Non-fatal heart attacks", US_national_yearly!$D:$AM, 29, FALSE) / VLOOKUP("electricity|PM25|Non-fatal heart attacks", US_national_yearly!$D:$AM, 10, FALSE), 1)</f>
        <v>1.4688248529549678E-3</v>
      </c>
      <c r="V13" s="7">
        <f>$B13 * IFERROR(VLOOKUP("electricity|PM25|Non-fatal heart attacks", US_national_yearly!$D:$AM, 30, FALSE) / VLOOKUP("electricity|PM25|Non-fatal heart attacks", US_national_yearly!$D:$AM, 10, FALSE), 1)</f>
        <v>1.4773544412984836E-3</v>
      </c>
      <c r="W13" s="7">
        <f>$B13 * IFERROR(VLOOKUP("electricity|PM25|Non-fatal heart attacks", US_national_yearly!$D:$AM, 31, FALSE) / VLOOKUP("electricity|PM25|Non-fatal heart attacks", US_national_yearly!$D:$AM, 10, FALSE), 1)</f>
        <v>1.4858840296419994E-3</v>
      </c>
      <c r="X13" s="7">
        <f>$B13 * IFERROR(VLOOKUP("electricity|PM25|Non-fatal heart attacks", US_national_yearly!$D:$AM, 32, FALSE) / VLOOKUP("electricity|PM25|Non-fatal heart attacks", US_national_yearly!$D:$AM, 10, FALSE), 1)</f>
        <v>1.4925568612475996E-3</v>
      </c>
      <c r="Y13" s="7">
        <f>$B13 * IFERROR(VLOOKUP("electricity|PM25|Non-fatal heart attacks", US_national_yearly!$D:$AM, 33, FALSE) / VLOOKUP("electricity|PM25|Non-fatal heart attacks", US_national_yearly!$D:$AM, 10, FALSE), 1)</f>
        <v>1.4992296928532001E-3</v>
      </c>
      <c r="Z13" s="7">
        <f>$B13 * IFERROR(VLOOKUP("electricity|PM25|Non-fatal heart attacks", US_national_yearly!$D:$AM, 34, FALSE) / VLOOKUP("electricity|PM25|Non-fatal heart attacks", US_national_yearly!$D:$AM, 10, FALSE), 1)</f>
        <v>1.5059025244588003E-3</v>
      </c>
      <c r="AA13" s="7">
        <f>$B13 * IFERROR(VLOOKUP("electricity|PM25|Non-fatal heart attacks", US_national_yearly!$D:$AM, 35, FALSE) / VLOOKUP("electricity|PM25|Non-fatal heart attacks", US_national_yearly!$D:$AM, 10, FALSE), 1)</f>
        <v>1.5125753560644012E-3</v>
      </c>
      <c r="AB13" s="7">
        <f>$B13 * IFERROR(VLOOKUP("electricity|PM25|Non-fatal heart attacks", US_national_yearly!$D:$AM, 36, FALSE) / VLOOKUP("electricity|PM25|Non-fatal heart attacks", US_national_yearly!$D:$AM, 10, FALSE), 1)</f>
        <v>1.5192481876700015E-3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0.65582487468368722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0.65728076182250883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0.65873664896133066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0.66019253610015227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0.66164842323897399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0.66380879105374324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0.66596915886851249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0.66978378015486961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0.67359840144122674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0.67741302272758386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0.68122764401394109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0.68504226530029821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0.69033424517621789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0.69562622505213778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0.70091820492805768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0.70621018480397757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0.71150216467989735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0.71683979056559888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0.7221774164513004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0.72751504233700182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0.73285266822270345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0.73819029410840487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0.74276575361519226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0.74734121312197987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0.75191667262876738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0.75649213213555455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0.76106759164234228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0.11092836595576962</v>
      </c>
      <c r="C15" s="7">
        <f>$B15 * IFERROR(VLOOKUP("electricity|PM25|Work loss days", US_national_yearly!$D:$AM, 11, FALSE) / VLOOKUP("electricity|PM25|Work loss days", US_national_yearly!$D:$AM, 10, FALSE), 1)</f>
        <v>0.11124579388715276</v>
      </c>
      <c r="D15" s="7">
        <f>$B15 * IFERROR(VLOOKUP("electricity|PM25|Work loss days", US_national_yearly!$D:$AM, 12, FALSE) / VLOOKUP("electricity|PM25|Work loss days", US_national_yearly!$D:$AM, 10, FALSE), 1)</f>
        <v>0.11156322181853595</v>
      </c>
      <c r="E15" s="7">
        <f>$B15 * IFERROR(VLOOKUP("electricity|PM25|Work loss days", US_national_yearly!$D:$AM, 13, FALSE) / VLOOKUP("electricity|PM25|Work loss days", US_national_yearly!$D:$AM, 10, FALSE), 1)</f>
        <v>0.1118806497499191</v>
      </c>
      <c r="F15" s="7">
        <f>$B15 * IFERROR(VLOOKUP("electricity|PM25|Work loss days", US_national_yearly!$D:$AM, 14, FALSE) / VLOOKUP("electricity|PM25|Work loss days", US_national_yearly!$D:$AM, 10, FALSE), 1)</f>
        <v>0.11219807768130226</v>
      </c>
      <c r="G15" s="7">
        <f>$B15 * IFERROR(VLOOKUP("electricity|PM25|Work loss days", US_national_yearly!$D:$AM, 15, FALSE) / VLOOKUP("electricity|PM25|Work loss days", US_national_yearly!$D:$AM, 10, FALSE), 1)</f>
        <v>0.11260928927129515</v>
      </c>
      <c r="H15" s="7">
        <f>$B15 * IFERROR(VLOOKUP("electricity|PM25|Work loss days", US_national_yearly!$D:$AM, 16, FALSE) / VLOOKUP("electricity|PM25|Work loss days", US_national_yearly!$D:$AM, 10, FALSE), 1)</f>
        <v>0.11302050086128808</v>
      </c>
      <c r="I15" s="7">
        <f>$B15 * IFERROR(VLOOKUP("electricity|PM25|Work loss days", US_national_yearly!$D:$AM, 17, FALSE) / VLOOKUP("electricity|PM25|Work loss days", US_national_yearly!$D:$AM, 10, FALSE), 1)</f>
        <v>0.11363868726871199</v>
      </c>
      <c r="J15" s="7">
        <f>$B15 * IFERROR(VLOOKUP("electricity|PM25|Work loss days", US_national_yearly!$D:$AM, 18, FALSE) / VLOOKUP("electricity|PM25|Work loss days", US_national_yearly!$D:$AM, 10, FALSE), 1)</f>
        <v>0.11425687367613586</v>
      </c>
      <c r="K15" s="7">
        <f>$B15 * IFERROR(VLOOKUP("electricity|PM25|Work loss days", US_national_yearly!$D:$AM, 19, FALSE) / VLOOKUP("electricity|PM25|Work loss days", US_national_yearly!$D:$AM, 10, FALSE), 1)</f>
        <v>0.11487506008355977</v>
      </c>
      <c r="L15" s="7">
        <f>$B15 * IFERROR(VLOOKUP("electricity|PM25|Work loss days", US_national_yearly!$D:$AM, 20, FALSE) / VLOOKUP("electricity|PM25|Work loss days", US_national_yearly!$D:$AM, 10, FALSE), 1)</f>
        <v>0.11549324649098366</v>
      </c>
      <c r="M15" s="7">
        <f>$B15 * IFERROR(VLOOKUP("electricity|PM25|Work loss days", US_national_yearly!$D:$AM, 21, FALSE) / VLOOKUP("electricity|PM25|Work loss days", US_national_yearly!$D:$AM, 10, FALSE), 1)</f>
        <v>0.11611143289840757</v>
      </c>
      <c r="N15" s="7">
        <f>$B15 * IFERROR(VLOOKUP("electricity|PM25|Work loss days", US_national_yearly!$D:$AM, 22, FALSE) / VLOOKUP("electricity|PM25|Work loss days", US_national_yearly!$D:$AM, 10, FALSE), 1)</f>
        <v>0.11690955446642272</v>
      </c>
      <c r="O15" s="7">
        <f>$B15 * IFERROR(VLOOKUP("electricity|PM25|Work loss days", US_national_yearly!$D:$AM, 23, FALSE) / VLOOKUP("electricity|PM25|Work loss days", US_national_yearly!$D:$AM, 10, FALSE), 1)</f>
        <v>0.11770767603443787</v>
      </c>
      <c r="P15" s="7">
        <f>$B15 * IFERROR(VLOOKUP("electricity|PM25|Work loss days", US_national_yearly!$D:$AM, 24, FALSE) / VLOOKUP("electricity|PM25|Work loss days", US_national_yearly!$D:$AM, 10, FALSE), 1)</f>
        <v>0.11850579760245299</v>
      </c>
      <c r="Q15" s="7">
        <f>$B15 * IFERROR(VLOOKUP("electricity|PM25|Work loss days", US_national_yearly!$D:$AM, 25, FALSE) / VLOOKUP("electricity|PM25|Work loss days", US_national_yearly!$D:$AM, 10, FALSE), 1)</f>
        <v>0.11930391917046811</v>
      </c>
      <c r="R15" s="7">
        <f>$B15 * IFERROR(VLOOKUP("electricity|PM25|Work loss days", US_national_yearly!$D:$AM, 26, FALSE) / VLOOKUP("electricity|PM25|Work loss days", US_national_yearly!$D:$AM, 10, FALSE), 1)</f>
        <v>0.12010204073848325</v>
      </c>
      <c r="S15" s="7">
        <f>$B15 * IFERROR(VLOOKUP("electricity|PM25|Work loss days", US_national_yearly!$D:$AM, 27, FALSE) / VLOOKUP("electricity|PM25|Work loss days", US_national_yearly!$D:$AM, 10, FALSE), 1)</f>
        <v>0.12098767385024738</v>
      </c>
      <c r="T15" s="7">
        <f>$B15 * IFERROR(VLOOKUP("electricity|PM25|Work loss days", US_national_yearly!$D:$AM, 28, FALSE) / VLOOKUP("electricity|PM25|Work loss days", US_national_yearly!$D:$AM, 10, FALSE), 1)</f>
        <v>0.12187330696201153</v>
      </c>
      <c r="U15" s="7">
        <f>$B15 * IFERROR(VLOOKUP("electricity|PM25|Work loss days", US_national_yearly!$D:$AM, 29, FALSE) / VLOOKUP("electricity|PM25|Work loss days", US_national_yearly!$D:$AM, 10, FALSE), 1)</f>
        <v>0.12275894007377568</v>
      </c>
      <c r="V15" s="7">
        <f>$B15 * IFERROR(VLOOKUP("electricity|PM25|Work loss days", US_national_yearly!$D:$AM, 30, FALSE) / VLOOKUP("electricity|PM25|Work loss days", US_national_yearly!$D:$AM, 10, FALSE), 1)</f>
        <v>0.12364457318553983</v>
      </c>
      <c r="W15" s="7">
        <f>$B15 * IFERROR(VLOOKUP("electricity|PM25|Work loss days", US_national_yearly!$D:$AM, 31, FALSE) / VLOOKUP("electricity|PM25|Work loss days", US_national_yearly!$D:$AM, 10, FALSE), 1)</f>
        <v>0.12453020629730395</v>
      </c>
      <c r="X15" s="7">
        <f>$B15 * IFERROR(VLOOKUP("electricity|PM25|Work loss days", US_national_yearly!$D:$AM, 32, FALSE) / VLOOKUP("electricity|PM25|Work loss days", US_national_yearly!$D:$AM, 10, FALSE), 1)</f>
        <v>0.12531148002141312</v>
      </c>
      <c r="Y15" s="7">
        <f>$B15 * IFERROR(VLOOKUP("electricity|PM25|Work loss days", US_national_yearly!$D:$AM, 33, FALSE) / VLOOKUP("electricity|PM25|Work loss days", US_national_yearly!$D:$AM, 10, FALSE), 1)</f>
        <v>0.12609275374552226</v>
      </c>
      <c r="Z15" s="7">
        <f>$B15 * IFERROR(VLOOKUP("electricity|PM25|Work loss days", US_national_yearly!$D:$AM, 34, FALSE) / VLOOKUP("electricity|PM25|Work loss days", US_national_yearly!$D:$AM, 10, FALSE), 1)</f>
        <v>0.12687402746963139</v>
      </c>
      <c r="AA15" s="7">
        <f>$B15 * IFERROR(VLOOKUP("electricity|PM25|Work loss days", US_national_yearly!$D:$AM, 35, FALSE) / VLOOKUP("electricity|PM25|Work loss days", US_national_yearly!$D:$AM, 10, FALSE), 1)</f>
        <v>0.12765530119374058</v>
      </c>
      <c r="AB15" s="7">
        <f>$B15 * IFERROR(VLOOKUP("electricity|PM25|Work loss days", US_national_yearly!$D:$AM, 36, FALSE) / VLOOKUP("electricity|PM25|Work loss days", US_national_yearly!$D:$AM, 10, FALSE), 1)</f>
        <v>0.12843657491784971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2.6747289590360851E-4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2.7541012979390178E-4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2.8334736368419505E-4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2.9128459757448826E-4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2.9922183146478153E-4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3.0687728123820682E-4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3.145327310116321E-4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3.2116449002937198E-4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3.2779624904711181E-4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3.3442800806485158E-4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3.410597670825914E-4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3.4769152610033118E-4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3.5214954651657056E-4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3.5660756693280988E-4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3.6106558734904921E-4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3.6552360776528859E-4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3.6998162818152792E-4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3.7244201559989313E-4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3.7490240301825829E-4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3.7736279043662355E-4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3.7982317785498871E-4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3.8228356527335392E-4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3.8400006477970358E-4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3.8571656428605314E-4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3.874330637924028E-4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3.8914956329875252E-4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3.9086606280510212E-4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3.3124171771675102E-4</v>
      </c>
      <c r="C2" s="7">
        <f>$B2 * IFERROR(VLOOKUP("electricity|NOx|Premature mortality", US_national_yearly!$D:$AM, 11, FALSE) / VLOOKUP("electricity|NOx|Premature mortality", US_national_yearly!$D:$AM, 10, FALSE), 1)</f>
        <v>3.3625361481616684E-4</v>
      </c>
      <c r="D2" s="7">
        <f>$B2 * IFERROR(VLOOKUP("electricity|NOx|Premature mortality", US_national_yearly!$D:$AM, 12, FALSE) / VLOOKUP("electricity|NOx|Premature mortality", US_national_yearly!$D:$AM, 10, FALSE), 1)</f>
        <v>3.4126551191558272E-4</v>
      </c>
      <c r="E2" s="7">
        <f>$B2 * IFERROR(VLOOKUP("electricity|NOx|Premature mortality", US_national_yearly!$D:$AM, 13, FALSE) / VLOOKUP("electricity|NOx|Premature mortality", US_national_yearly!$D:$AM, 10, FALSE), 1)</f>
        <v>3.4627740901499855E-4</v>
      </c>
      <c r="F2" s="7">
        <f>$B2 * IFERROR(VLOOKUP("electricity|NOx|Premature mortality", US_national_yearly!$D:$AM, 14, FALSE) / VLOOKUP("electricity|NOx|Premature mortality", US_national_yearly!$D:$AM, 10, FALSE), 1)</f>
        <v>3.5128930611441438E-4</v>
      </c>
      <c r="G2" s="7">
        <f>$B2 * IFERROR(VLOOKUP("electricity|NOx|Premature mortality", US_national_yearly!$D:$AM, 15, FALSE) / VLOOKUP("electricity|NOx|Premature mortality", US_national_yearly!$D:$AM, 10, FALSE), 1)</f>
        <v>3.602424001727525E-4</v>
      </c>
      <c r="H2" s="7">
        <f>$B2 * IFERROR(VLOOKUP("electricity|NOx|Premature mortality", US_national_yearly!$D:$AM, 16, FALSE) / VLOOKUP("electricity|NOx|Premature mortality", US_national_yearly!$D:$AM, 10, FALSE), 1)</f>
        <v>3.6919549423109057E-4</v>
      </c>
      <c r="I2" s="7">
        <f>$B2 * IFERROR(VLOOKUP("electricity|NOx|Premature mortality", US_national_yearly!$D:$AM, 17, FALSE) / VLOOKUP("electricity|NOx|Premature mortality", US_national_yearly!$D:$AM, 10, FALSE), 1)</f>
        <v>3.7514519297942575E-4</v>
      </c>
      <c r="J2" s="7">
        <f>$B2 * IFERROR(VLOOKUP("electricity|NOx|Premature mortality", US_national_yearly!$D:$AM, 18, FALSE) / VLOOKUP("electricity|NOx|Premature mortality", US_national_yearly!$D:$AM, 10, FALSE), 1)</f>
        <v>3.8109489172776098E-4</v>
      </c>
      <c r="K2" s="7">
        <f>$B2 * IFERROR(VLOOKUP("electricity|NOx|Premature mortality", US_national_yearly!$D:$AM, 19, FALSE) / VLOOKUP("electricity|NOx|Premature mortality", US_national_yearly!$D:$AM, 10, FALSE), 1)</f>
        <v>3.8704459047609615E-4</v>
      </c>
      <c r="L2" s="7">
        <f>$B2 * IFERROR(VLOOKUP("electricity|NOx|Premature mortality", US_national_yearly!$D:$AM, 20, FALSE) / VLOOKUP("electricity|NOx|Premature mortality", US_national_yearly!$D:$AM, 10, FALSE), 1)</f>
        <v>3.9299428922443132E-4</v>
      </c>
      <c r="M2" s="7">
        <f>$B2 * IFERROR(VLOOKUP("electricity|NOx|Premature mortality", US_national_yearly!$D:$AM, 21, FALSE) / VLOOKUP("electricity|NOx|Premature mortality", US_national_yearly!$D:$AM, 10, FALSE), 1)</f>
        <v>3.989439879727665E-4</v>
      </c>
      <c r="N2" s="7">
        <f>$B2 * IFERROR(VLOOKUP("electricity|NOx|Premature mortality", US_national_yearly!$D:$AM, 22, FALSE) / VLOOKUP("electricity|NOx|Premature mortality", US_national_yearly!$D:$AM, 10, FALSE), 1)</f>
        <v>4.035348683713523E-4</v>
      </c>
      <c r="O2" s="7">
        <f>$B2 * IFERROR(VLOOKUP("electricity|NOx|Premature mortality", US_national_yearly!$D:$AM, 23, FALSE) / VLOOKUP("electricity|NOx|Premature mortality", US_national_yearly!$D:$AM, 10, FALSE), 1)</f>
        <v>4.0812574876993826E-4</v>
      </c>
      <c r="P2" s="7">
        <f>$B2 * IFERROR(VLOOKUP("electricity|NOx|Premature mortality", US_national_yearly!$D:$AM, 24, FALSE) / VLOOKUP("electricity|NOx|Premature mortality", US_national_yearly!$D:$AM, 10, FALSE), 1)</f>
        <v>4.1271662916852407E-4</v>
      </c>
      <c r="Q2" s="7">
        <f>$B2 * IFERROR(VLOOKUP("electricity|NOx|Premature mortality", US_national_yearly!$D:$AM, 25, FALSE) / VLOOKUP("electricity|NOx|Premature mortality", US_national_yearly!$D:$AM, 10, FALSE), 1)</f>
        <v>4.1730750956710992E-4</v>
      </c>
      <c r="R2" s="7">
        <f>$B2 * IFERROR(VLOOKUP("electricity|NOx|Premature mortality", US_national_yearly!$D:$AM, 26, FALSE) / VLOOKUP("electricity|NOx|Premature mortality", US_national_yearly!$D:$AM, 10, FALSE), 1)</f>
        <v>4.2189838996569573E-4</v>
      </c>
      <c r="S2" s="7">
        <f>$B2 * IFERROR(VLOOKUP("electricity|NOx|Premature mortality", US_national_yearly!$D:$AM, 27, FALSE) / VLOOKUP("electricity|NOx|Premature mortality", US_national_yearly!$D:$AM, 10, FALSE), 1)</f>
        <v>4.2427069009104553E-4</v>
      </c>
      <c r="T2" s="7">
        <f>$B2 * IFERROR(VLOOKUP("electricity|NOx|Premature mortality", US_national_yearly!$D:$AM, 28, FALSE) / VLOOKUP("electricity|NOx|Premature mortality", US_national_yearly!$D:$AM, 10, FALSE), 1)</f>
        <v>4.2664299021639529E-4</v>
      </c>
      <c r="U2" s="7">
        <f>$B2 * IFERROR(VLOOKUP("electricity|NOx|Premature mortality", US_national_yearly!$D:$AM, 29, FALSE) / VLOOKUP("electricity|NOx|Premature mortality", US_national_yearly!$D:$AM, 10, FALSE), 1)</f>
        <v>4.2901529034174521E-4</v>
      </c>
      <c r="V2" s="7">
        <f>$B2 * IFERROR(VLOOKUP("electricity|NOx|Premature mortality", US_national_yearly!$D:$AM, 30, FALSE) / VLOOKUP("electricity|NOx|Premature mortality", US_national_yearly!$D:$AM, 10, FALSE), 1)</f>
        <v>4.3138759046709496E-4</v>
      </c>
      <c r="W2" s="7">
        <f>$B2 * IFERROR(VLOOKUP("electricity|NOx|Premature mortality", US_national_yearly!$D:$AM, 31, FALSE) / VLOOKUP("electricity|NOx|Premature mortality", US_national_yearly!$D:$AM, 10, FALSE), 1)</f>
        <v>4.3375989059244471E-4</v>
      </c>
      <c r="X2" s="7">
        <f>$B2 * IFERROR(VLOOKUP("electricity|NOx|Premature mortality", US_national_yearly!$D:$AM, 32, FALSE) / VLOOKUP("electricity|NOx|Premature mortality", US_national_yearly!$D:$AM, 10, FALSE), 1)</f>
        <v>4.3429657857928613E-4</v>
      </c>
      <c r="Y2" s="7">
        <f>$B2 * IFERROR(VLOOKUP("electricity|NOx|Premature mortality", US_national_yearly!$D:$AM, 33, FALSE) / VLOOKUP("electricity|NOx|Premature mortality", US_national_yearly!$D:$AM, 10, FALSE), 1)</f>
        <v>4.3483326656612749E-4</v>
      </c>
      <c r="Z2" s="7">
        <f>$B2 * IFERROR(VLOOKUP("electricity|NOx|Premature mortality", US_national_yearly!$D:$AM, 34, FALSE) / VLOOKUP("electricity|NOx|Premature mortality", US_national_yearly!$D:$AM, 10, FALSE), 1)</f>
        <v>4.3536995455296885E-4</v>
      </c>
      <c r="AA2" s="7">
        <f>$B2 * IFERROR(VLOOKUP("electricity|NOx|Premature mortality", US_national_yearly!$D:$AM, 35, FALSE) / VLOOKUP("electricity|NOx|Premature mortality", US_national_yearly!$D:$AM, 10, FALSE), 1)</f>
        <v>4.3590664253981011E-4</v>
      </c>
      <c r="AB2" s="7">
        <f>$B2 * IFERROR(VLOOKUP("electricity|NOx|Premature mortality", US_national_yearly!$D:$AM, 36, FALSE) / VLOOKUP("electricity|NOx|Premature mortality", US_national_yearly!$D:$AM, 10, FALSE), 1)</f>
        <v>4.3644333052665152E-4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7.3558055107211772E-7</v>
      </c>
      <c r="C3" s="7">
        <f>$B3 * IFERROR(VLOOKUP("electricity|NOx|Infant mortality", US_national_yearly!$D:$AM, 11, FALSE) / VLOOKUP("electricity|NOx|Infant mortality", US_national_yearly!$D:$AM, 10, FALSE), 1)</f>
        <v>7.286987747417836E-7</v>
      </c>
      <c r="D3" s="7">
        <f>$B3 * IFERROR(VLOOKUP("electricity|NOx|Infant mortality", US_national_yearly!$D:$AM, 12, FALSE) / VLOOKUP("electricity|NOx|Infant mortality", US_national_yearly!$D:$AM, 10, FALSE), 1)</f>
        <v>7.2181699841144938E-7</v>
      </c>
      <c r="E3" s="7">
        <f>$B3 * IFERROR(VLOOKUP("electricity|NOx|Infant mortality", US_national_yearly!$D:$AM, 13, FALSE) / VLOOKUP("electricity|NOx|Infant mortality", US_national_yearly!$D:$AM, 10, FALSE), 1)</f>
        <v>7.1493522208111537E-7</v>
      </c>
      <c r="F3" s="7">
        <f>$B3 * IFERROR(VLOOKUP("electricity|NOx|Infant mortality", US_national_yearly!$D:$AM, 14, FALSE) / VLOOKUP("electricity|NOx|Infant mortality", US_national_yearly!$D:$AM, 10, FALSE), 1)</f>
        <v>7.0805344575078115E-7</v>
      </c>
      <c r="G3" s="7">
        <f>$B3 * IFERROR(VLOOKUP("electricity|NOx|Infant mortality", US_national_yearly!$D:$AM, 15, FALSE) / VLOOKUP("electricity|NOx|Infant mortality", US_national_yearly!$D:$AM, 10, FALSE), 1)</f>
        <v>4.6912048733694677E-7</v>
      </c>
      <c r="H3" s="7">
        <f>$B3 * IFERROR(VLOOKUP("electricity|NOx|Infant mortality", US_national_yearly!$D:$AM, 16, FALSE) / VLOOKUP("electricity|NOx|Infant mortality", US_national_yearly!$D:$AM, 10, FALSE), 1)</f>
        <v>2.3018752892311245E-7</v>
      </c>
      <c r="I3" s="7">
        <f>$B3 * IFERROR(VLOOKUP("electricity|NOx|Infant mortality", US_national_yearly!$D:$AM, 17, FALSE) / VLOOKUP("electricity|NOx|Infant mortality", US_national_yearly!$D:$AM, 10, FALSE), 1)</f>
        <v>2.2851347942492336E-7</v>
      </c>
      <c r="J3" s="7">
        <f>$B3 * IFERROR(VLOOKUP("electricity|NOx|Infant mortality", US_national_yearly!$D:$AM, 18, FALSE) / VLOOKUP("electricity|NOx|Infant mortality", US_national_yearly!$D:$AM, 10, FALSE), 1)</f>
        <v>2.2683942992673428E-7</v>
      </c>
      <c r="K3" s="7">
        <f>$B3 * IFERROR(VLOOKUP("electricity|NOx|Infant mortality", US_national_yearly!$D:$AM, 19, FALSE) / VLOOKUP("electricity|NOx|Infant mortality", US_national_yearly!$D:$AM, 10, FALSE), 1)</f>
        <v>2.251653804285452E-7</v>
      </c>
      <c r="L3" s="7">
        <f>$B3 * IFERROR(VLOOKUP("electricity|NOx|Infant mortality", US_national_yearly!$D:$AM, 20, FALSE) / VLOOKUP("electricity|NOx|Infant mortality", US_national_yearly!$D:$AM, 10, FALSE), 1)</f>
        <v>2.2349133093035609E-7</v>
      </c>
      <c r="M3" s="7">
        <f>$B3 * IFERROR(VLOOKUP("electricity|NOx|Infant mortality", US_national_yearly!$D:$AM, 21, FALSE) / VLOOKUP("electricity|NOx|Infant mortality", US_national_yearly!$D:$AM, 10, FALSE), 1)</f>
        <v>2.2181728143216698E-7</v>
      </c>
      <c r="N3" s="7">
        <f>$B3 * IFERROR(VLOOKUP("electricity|NOx|Infant mortality", US_national_yearly!$D:$AM, 22, FALSE) / VLOOKUP("electricity|NOx|Infant mortality", US_national_yearly!$D:$AM, 10, FALSE), 1)</f>
        <v>2.2069314516874982E-7</v>
      </c>
      <c r="O3" s="7">
        <f>$B3 * IFERROR(VLOOKUP("electricity|NOx|Infant mortality", US_national_yearly!$D:$AM, 23, FALSE) / VLOOKUP("electricity|NOx|Infant mortality", US_national_yearly!$D:$AM, 10, FALSE), 1)</f>
        <v>2.1956900890533264E-7</v>
      </c>
      <c r="P3" s="7">
        <f>$B3 * IFERROR(VLOOKUP("electricity|NOx|Infant mortality", US_national_yearly!$D:$AM, 24, FALSE) / VLOOKUP("electricity|NOx|Infant mortality", US_national_yearly!$D:$AM, 10, FALSE), 1)</f>
        <v>2.1844487264191546E-7</v>
      </c>
      <c r="Q3" s="7">
        <f>$B3 * IFERROR(VLOOKUP("electricity|NOx|Infant mortality", US_national_yearly!$D:$AM, 25, FALSE) / VLOOKUP("electricity|NOx|Infant mortality", US_national_yearly!$D:$AM, 10, FALSE), 1)</f>
        <v>2.1732073637849827E-7</v>
      </c>
      <c r="R3" s="7">
        <f>$B3 * IFERROR(VLOOKUP("electricity|NOx|Infant mortality", US_national_yearly!$D:$AM, 26, FALSE) / VLOOKUP("electricity|NOx|Infant mortality", US_national_yearly!$D:$AM, 10, FALSE), 1)</f>
        <v>2.1619660011508112E-7</v>
      </c>
      <c r="S3" s="7">
        <f>$B3 * IFERROR(VLOOKUP("electricity|NOx|Infant mortality", US_national_yearly!$D:$AM, 27, FALSE) / VLOOKUP("electricity|NOx|Infant mortality", US_national_yearly!$D:$AM, 10, FALSE), 1)</f>
        <v>2.1486205460828884E-7</v>
      </c>
      <c r="T3" s="7">
        <f>$B3 * IFERROR(VLOOKUP("electricity|NOx|Infant mortality", US_national_yearly!$D:$AM, 28, FALSE) / VLOOKUP("electricity|NOx|Infant mortality", US_national_yearly!$D:$AM, 10, FALSE), 1)</f>
        <v>2.1352750910149654E-7</v>
      </c>
      <c r="U3" s="7">
        <f>$B3 * IFERROR(VLOOKUP("electricity|NOx|Infant mortality", US_national_yearly!$D:$AM, 29, FALSE) / VLOOKUP("electricity|NOx|Infant mortality", US_national_yearly!$D:$AM, 10, FALSE), 1)</f>
        <v>2.1219296359470429E-7</v>
      </c>
      <c r="V3" s="7">
        <f>$B3 * IFERROR(VLOOKUP("electricity|NOx|Infant mortality", US_national_yearly!$D:$AM, 30, FALSE) / VLOOKUP("electricity|NOx|Infant mortality", US_national_yearly!$D:$AM, 10, FALSE), 1)</f>
        <v>2.1085841808791202E-7</v>
      </c>
      <c r="W3" s="7">
        <f>$B3 * IFERROR(VLOOKUP("electricity|NOx|Infant mortality", US_national_yearly!$D:$AM, 31, FALSE) / VLOOKUP("electricity|NOx|Infant mortality", US_national_yearly!$D:$AM, 10, FALSE), 1)</f>
        <v>2.0952387258111974E-7</v>
      </c>
      <c r="X3" s="7">
        <f>$B3 * IFERROR(VLOOKUP("electricity|NOx|Infant mortality", US_national_yearly!$D:$AM, 32, FALSE) / VLOOKUP("electricity|NOx|Infant mortality", US_national_yearly!$D:$AM, 10, FALSE), 1)</f>
        <v>2.0814972527434799E-7</v>
      </c>
      <c r="Y3" s="7">
        <f>$B3 * IFERROR(VLOOKUP("electricity|NOx|Infant mortality", US_national_yearly!$D:$AM, 33, FALSE) / VLOOKUP("electricity|NOx|Infant mortality", US_national_yearly!$D:$AM, 10, FALSE), 1)</f>
        <v>2.0677557796757624E-7</v>
      </c>
      <c r="Z3" s="7">
        <f>$B3 * IFERROR(VLOOKUP("electricity|NOx|Infant mortality", US_national_yearly!$D:$AM, 34, FALSE) / VLOOKUP("electricity|NOx|Infant mortality", US_national_yearly!$D:$AM, 10, FALSE), 1)</f>
        <v>2.0540143066080449E-7</v>
      </c>
      <c r="AA3" s="7">
        <f>$B3 * IFERROR(VLOOKUP("electricity|NOx|Infant mortality", US_national_yearly!$D:$AM, 35, FALSE) / VLOOKUP("electricity|NOx|Infant mortality", US_national_yearly!$D:$AM, 10, FALSE), 1)</f>
        <v>2.0402728335403275E-7</v>
      </c>
      <c r="AB3" s="7">
        <f>$B3 * IFERROR(VLOOKUP("electricity|NOx|Infant mortality", US_national_yearly!$D:$AM, 36, FALSE) / VLOOKUP("electricity|NOx|Infant mortality", US_national_yearly!$D:$AM, 10, FALSE), 1)</f>
        <v>2.0265313604726097E-7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7.5447746731329291E-4</v>
      </c>
      <c r="C6" s="7">
        <f>$B6 * IFERROR(VLOOKUP("electricity|NOx|Asthma symptoms cough", US_national_yearly!$D:$AM, 11, FALSE) / VLOOKUP("electricity|NOx|Asthma symptoms cough", US_national_yearly!$D:$AM, 10, FALSE), 1)</f>
        <v>7.6483548546689829E-4</v>
      </c>
      <c r="D6" s="7">
        <f>$B6 * IFERROR(VLOOKUP("electricity|NOx|Asthma symptoms cough", US_national_yearly!$D:$AM, 12, FALSE) / VLOOKUP("electricity|NOx|Asthma symptoms cough", US_national_yearly!$D:$AM, 10, FALSE), 1)</f>
        <v>7.7519350362050378E-4</v>
      </c>
      <c r="E6" s="7">
        <f>$B6 * IFERROR(VLOOKUP("electricity|NOx|Asthma symptoms cough", US_national_yearly!$D:$AM, 13, FALSE) / VLOOKUP("electricity|NOx|Asthma symptoms cough", US_national_yearly!$D:$AM, 10, FALSE), 1)</f>
        <v>7.8555152177410916E-4</v>
      </c>
      <c r="F6" s="7">
        <f>$B6 * IFERROR(VLOOKUP("electricity|NOx|Asthma symptoms cough", US_national_yearly!$D:$AM, 14, FALSE) / VLOOKUP("electricity|NOx|Asthma symptoms cough", US_national_yearly!$D:$AM, 10, FALSE), 1)</f>
        <v>7.9590953992771454E-4</v>
      </c>
      <c r="G6" s="7">
        <f>$B6 * IFERROR(VLOOKUP("electricity|NOx|Asthma symptoms cough", US_national_yearly!$D:$AM, 15, FALSE) / VLOOKUP("electricity|NOx|Asthma symptoms cough", US_national_yearly!$D:$AM, 10, FALSE), 1)</f>
        <v>8.0433115789192602E-4</v>
      </c>
      <c r="H6" s="7">
        <f>$B6 * IFERROR(VLOOKUP("electricity|NOx|Asthma symptoms cough", US_national_yearly!$D:$AM, 16, FALSE) / VLOOKUP("electricity|NOx|Asthma symptoms cough", US_national_yearly!$D:$AM, 10, FALSE), 1)</f>
        <v>8.127527758561375E-4</v>
      </c>
      <c r="I6" s="7">
        <f>$B6 * IFERROR(VLOOKUP("electricity|NOx|Asthma symptoms cough", US_national_yearly!$D:$AM, 17, FALSE) / VLOOKUP("electricity|NOx|Asthma symptoms cough", US_national_yearly!$D:$AM, 10, FALSE), 1)</f>
        <v>8.1588341163276758E-4</v>
      </c>
      <c r="J6" s="7">
        <f>$B6 * IFERROR(VLOOKUP("electricity|NOx|Asthma symptoms cough", US_national_yearly!$D:$AM, 18, FALSE) / VLOOKUP("electricity|NOx|Asthma symptoms cough", US_national_yearly!$D:$AM, 10, FALSE), 1)</f>
        <v>8.1901404740939755E-4</v>
      </c>
      <c r="K6" s="7">
        <f>$B6 * IFERROR(VLOOKUP("electricity|NOx|Asthma symptoms cough", US_national_yearly!$D:$AM, 19, FALSE) / VLOOKUP("electricity|NOx|Asthma symptoms cough", US_national_yearly!$D:$AM, 10, FALSE), 1)</f>
        <v>8.2214468318602785E-4</v>
      </c>
      <c r="L6" s="7">
        <f>$B6 * IFERROR(VLOOKUP("electricity|NOx|Asthma symptoms cough", US_national_yearly!$D:$AM, 20, FALSE) / VLOOKUP("electricity|NOx|Asthma symptoms cough", US_national_yearly!$D:$AM, 10, FALSE), 1)</f>
        <v>8.2527531896265792E-4</v>
      </c>
      <c r="M6" s="7">
        <f>$B6 * IFERROR(VLOOKUP("electricity|NOx|Asthma symptoms cough", US_national_yearly!$D:$AM, 21, FALSE) / VLOOKUP("electricity|NOx|Asthma symptoms cough", US_national_yearly!$D:$AM, 10, FALSE), 1)</f>
        <v>8.2840595473928811E-4</v>
      </c>
      <c r="N6" s="7">
        <f>$B6 * IFERROR(VLOOKUP("electricity|NOx|Asthma symptoms cough", US_national_yearly!$D:$AM, 22, FALSE) / VLOOKUP("electricity|NOx|Asthma symptoms cough", US_national_yearly!$D:$AM, 10, FALSE), 1)</f>
        <v>8.3187467310308046E-4</v>
      </c>
      <c r="O6" s="7">
        <f>$B6 * IFERROR(VLOOKUP("electricity|NOx|Asthma symptoms cough", US_national_yearly!$D:$AM, 23, FALSE) / VLOOKUP("electricity|NOx|Asthma symptoms cough", US_national_yearly!$D:$AM, 10, FALSE), 1)</f>
        <v>8.3534339146687292E-4</v>
      </c>
      <c r="P6" s="7">
        <f>$B6 * IFERROR(VLOOKUP("electricity|NOx|Asthma symptoms cough", US_national_yearly!$D:$AM, 24, FALSE) / VLOOKUP("electricity|NOx|Asthma symptoms cough", US_national_yearly!$D:$AM, 10, FALSE), 1)</f>
        <v>8.3881210983066527E-4</v>
      </c>
      <c r="Q6" s="7">
        <f>$B6 * IFERROR(VLOOKUP("electricity|NOx|Asthma symptoms cough", US_national_yearly!$D:$AM, 25, FALSE) / VLOOKUP("electricity|NOx|Asthma symptoms cough", US_national_yearly!$D:$AM, 10, FALSE), 1)</f>
        <v>8.4228082819445772E-4</v>
      </c>
      <c r="R6" s="7">
        <f>$B6 * IFERROR(VLOOKUP("electricity|NOx|Asthma symptoms cough", US_national_yearly!$D:$AM, 26, FALSE) / VLOOKUP("electricity|NOx|Asthma symptoms cough", US_national_yearly!$D:$AM, 10, FALSE), 1)</f>
        <v>8.4574954655824996E-4</v>
      </c>
      <c r="S6" s="7">
        <f>$B6 * IFERROR(VLOOKUP("electricity|NOx|Asthma symptoms cough", US_national_yearly!$D:$AM, 27, FALSE) / VLOOKUP("electricity|NOx|Asthma symptoms cough", US_national_yearly!$D:$AM, 10, FALSE), 1)</f>
        <v>8.5007709214406937E-4</v>
      </c>
      <c r="T6" s="7">
        <f>$B6 * IFERROR(VLOOKUP("electricity|NOx|Asthma symptoms cough", US_national_yearly!$D:$AM, 28, FALSE) / VLOOKUP("electricity|NOx|Asthma symptoms cough", US_national_yearly!$D:$AM, 10, FALSE), 1)</f>
        <v>8.5440463772988855E-4</v>
      </c>
      <c r="U6" s="7">
        <f>$B6 * IFERROR(VLOOKUP("electricity|NOx|Asthma symptoms cough", US_national_yearly!$D:$AM, 29, FALSE) / VLOOKUP("electricity|NOx|Asthma symptoms cough", US_national_yearly!$D:$AM, 10, FALSE), 1)</f>
        <v>8.5873218331570806E-4</v>
      </c>
      <c r="V6" s="7">
        <f>$B6 * IFERROR(VLOOKUP("electricity|NOx|Asthma symptoms cough", US_national_yearly!$D:$AM, 30, FALSE) / VLOOKUP("electricity|NOx|Asthma symptoms cough", US_national_yearly!$D:$AM, 10, FALSE), 1)</f>
        <v>8.6305972890152736E-4</v>
      </c>
      <c r="W6" s="7">
        <f>$B6 * IFERROR(VLOOKUP("electricity|NOx|Asthma symptoms cough", US_national_yearly!$D:$AM, 31, FALSE) / VLOOKUP("electricity|NOx|Asthma symptoms cough", US_national_yearly!$D:$AM, 10, FALSE), 1)</f>
        <v>8.6738727448734665E-4</v>
      </c>
      <c r="X6" s="7">
        <f>$B6 * IFERROR(VLOOKUP("electricity|NOx|Asthma symptoms cough", US_national_yearly!$D:$AM, 32, FALSE) / VLOOKUP("electricity|NOx|Asthma symptoms cough", US_national_yearly!$D:$AM, 10, FALSE), 1)</f>
        <v>8.713742711226848E-4</v>
      </c>
      <c r="Y6" s="7">
        <f>$B6 * IFERROR(VLOOKUP("electricity|NOx|Asthma symptoms cough", US_national_yearly!$D:$AM, 33, FALSE) / VLOOKUP("electricity|NOx|Asthma symptoms cough", US_national_yearly!$D:$AM, 10, FALSE), 1)</f>
        <v>8.7536126775802317E-4</v>
      </c>
      <c r="Z6" s="7">
        <f>$B6 * IFERROR(VLOOKUP("electricity|NOx|Asthma symptoms cough", US_national_yearly!$D:$AM, 34, FALSE) / VLOOKUP("electricity|NOx|Asthma symptoms cough", US_national_yearly!$D:$AM, 10, FALSE), 1)</f>
        <v>8.7934826439336154E-4</v>
      </c>
      <c r="AA6" s="7">
        <f>$B6 * IFERROR(VLOOKUP("electricity|NOx|Asthma symptoms cough", US_national_yearly!$D:$AM, 35, FALSE) / VLOOKUP("electricity|NOx|Asthma symptoms cough", US_national_yearly!$D:$AM, 10, FALSE), 1)</f>
        <v>8.833352610286997E-4</v>
      </c>
      <c r="AB6" s="7">
        <f>$B6 * IFERROR(VLOOKUP("electricity|NOx|Asthma symptoms cough", US_national_yearly!$D:$AM, 36, FALSE) / VLOOKUP("electricity|NOx|Asthma symptoms cough", US_national_yearly!$D:$AM, 10, FALSE), 1)</f>
        <v>8.8732225766403807E-4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1.0160065570043648E-3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1.0299550376388861E-3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1.0439035182734078E-3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1.0578519989079291E-3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1.0718004795424506E-3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1.0831413338635689E-3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1.0944821881846867E-3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1.0986980151432683E-3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1.1029138421018493E-3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1.1071296690604306E-3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1.1113454960190116E-3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1.1155613229775927E-3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1.1202324241405841E-3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1.1249035253035754E-3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1.1295746264665665E-3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1.1342457276295578E-3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1.1389168287925489E-3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1.1447444576602444E-3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1.1505720865279396E-3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1.1563997153956349E-3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1.1622273442633301E-3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1.1680549731310256E-3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1.1734240065040399E-3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1.1787930398770544E-3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1.1841620732500687E-3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1.1895311066230829E-3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1.1949001399960974E-3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1.5523101928904372E-3</v>
      </c>
      <c r="C8" s="7">
        <f>$B8 * IFERROR(VLOOKUP("electricity|NOx|Asthma symptoms wheeze", US_national_yearly!$D:$AM, 11, FALSE) / VLOOKUP("electricity|NOx|Asthma symptoms wheeze", US_national_yearly!$D:$AM, 10, FALSE), 1)</f>
        <v>1.573621441867918E-3</v>
      </c>
      <c r="D8" s="7">
        <f>$B8 * IFERROR(VLOOKUP("electricity|NOx|Asthma symptoms wheeze", US_national_yearly!$D:$AM, 12, FALSE) / VLOOKUP("electricity|NOx|Asthma symptoms wheeze", US_national_yearly!$D:$AM, 10, FALSE), 1)</f>
        <v>1.5949326908453988E-3</v>
      </c>
      <c r="E8" s="7">
        <f>$B8 * IFERROR(VLOOKUP("electricity|NOx|Asthma symptoms wheeze", US_national_yearly!$D:$AM, 13, FALSE) / VLOOKUP("electricity|NOx|Asthma symptoms wheeze", US_national_yearly!$D:$AM, 10, FALSE), 1)</f>
        <v>1.6162439398228795E-3</v>
      </c>
      <c r="F8" s="7">
        <f>$B8 * IFERROR(VLOOKUP("electricity|NOx|Asthma symptoms wheeze", US_national_yearly!$D:$AM, 14, FALSE) / VLOOKUP("electricity|NOx|Asthma symptoms wheeze", US_national_yearly!$D:$AM, 10, FALSE), 1)</f>
        <v>1.6375551888003605E-3</v>
      </c>
      <c r="G8" s="7">
        <f>$B8 * IFERROR(VLOOKUP("electricity|NOx|Asthma symptoms wheeze", US_national_yearly!$D:$AM, 15, FALSE) / VLOOKUP("electricity|NOx|Asthma symptoms wheeze", US_national_yearly!$D:$AM, 10, FALSE), 1)</f>
        <v>1.6548823641853755E-3</v>
      </c>
      <c r="H8" s="7">
        <f>$B8 * IFERROR(VLOOKUP("electricity|NOx|Asthma symptoms wheeze", US_national_yearly!$D:$AM, 16, FALSE) / VLOOKUP("electricity|NOx|Asthma symptoms wheeze", US_national_yearly!$D:$AM, 10, FALSE), 1)</f>
        <v>1.6722095395703908E-3</v>
      </c>
      <c r="I8" s="7">
        <f>$B8 * IFERROR(VLOOKUP("electricity|NOx|Asthma symptoms wheeze", US_national_yearly!$D:$AM, 17, FALSE) / VLOOKUP("electricity|NOx|Asthma symptoms wheeze", US_national_yearly!$D:$AM, 10, FALSE), 1)</f>
        <v>1.6786507098210924E-3</v>
      </c>
      <c r="J8" s="7">
        <f>$B8 * IFERROR(VLOOKUP("electricity|NOx|Asthma symptoms wheeze", US_national_yearly!$D:$AM, 18, FALSE) / VLOOKUP("electricity|NOx|Asthma symptoms wheeze", US_national_yearly!$D:$AM, 10, FALSE), 1)</f>
        <v>1.685091880071794E-3</v>
      </c>
      <c r="K8" s="7">
        <f>$B8 * IFERROR(VLOOKUP("electricity|NOx|Asthma symptoms wheeze", US_national_yearly!$D:$AM, 19, FALSE) / VLOOKUP("electricity|NOx|Asthma symptoms wheeze", US_national_yearly!$D:$AM, 10, FALSE), 1)</f>
        <v>1.6915330503224962E-3</v>
      </c>
      <c r="L8" s="7">
        <f>$B8 * IFERROR(VLOOKUP("electricity|NOx|Asthma symptoms wheeze", US_national_yearly!$D:$AM, 20, FALSE) / VLOOKUP("electricity|NOx|Asthma symptoms wheeze", US_national_yearly!$D:$AM, 10, FALSE), 1)</f>
        <v>1.6979742205731978E-3</v>
      </c>
      <c r="M8" s="7">
        <f>$B8 * IFERROR(VLOOKUP("electricity|NOx|Asthma symptoms wheeze", US_national_yearly!$D:$AM, 21, FALSE) / VLOOKUP("electricity|NOx|Asthma symptoms wheeze", US_national_yearly!$D:$AM, 10, FALSE), 1)</f>
        <v>1.7044153908238994E-3</v>
      </c>
      <c r="N8" s="7">
        <f>$B8 * IFERROR(VLOOKUP("electricity|NOx|Asthma symptoms wheeze", US_national_yearly!$D:$AM, 22, FALSE) / VLOOKUP("electricity|NOx|Asthma symptoms wheeze", US_national_yearly!$D:$AM, 10, FALSE), 1)</f>
        <v>1.7115521538105839E-3</v>
      </c>
      <c r="O8" s="7">
        <f>$B8 * IFERROR(VLOOKUP("electricity|NOx|Asthma symptoms wheeze", US_national_yearly!$D:$AM, 23, FALSE) / VLOOKUP("electricity|NOx|Asthma symptoms wheeze", US_national_yearly!$D:$AM, 10, FALSE), 1)</f>
        <v>1.7186889167972686E-3</v>
      </c>
      <c r="P8" s="7">
        <f>$B8 * IFERROR(VLOOKUP("electricity|NOx|Asthma symptoms wheeze", US_national_yearly!$D:$AM, 24, FALSE) / VLOOKUP("electricity|NOx|Asthma symptoms wheeze", US_national_yearly!$D:$AM, 10, FALSE), 1)</f>
        <v>1.7258256797839534E-3</v>
      </c>
      <c r="Q8" s="7">
        <f>$B8 * IFERROR(VLOOKUP("electricity|NOx|Asthma symptoms wheeze", US_national_yearly!$D:$AM, 25, FALSE) / VLOOKUP("electricity|NOx|Asthma symptoms wheeze", US_national_yearly!$D:$AM, 10, FALSE), 1)</f>
        <v>1.7329624427706379E-3</v>
      </c>
      <c r="R8" s="7">
        <f>$B8 * IFERROR(VLOOKUP("electricity|NOx|Asthma symptoms wheeze", US_national_yearly!$D:$AM, 26, FALSE) / VLOOKUP("electricity|NOx|Asthma symptoms wheeze", US_national_yearly!$D:$AM, 10, FALSE), 1)</f>
        <v>1.7400992057573221E-3</v>
      </c>
      <c r="S8" s="7">
        <f>$B8 * IFERROR(VLOOKUP("electricity|NOx|Asthma symptoms wheeze", US_national_yearly!$D:$AM, 27, FALSE) / VLOOKUP("electricity|NOx|Asthma symptoms wheeze", US_national_yearly!$D:$AM, 10, FALSE), 1)</f>
        <v>1.7490029747953544E-3</v>
      </c>
      <c r="T8" s="7">
        <f>$B8 * IFERROR(VLOOKUP("electricity|NOx|Asthma symptoms wheeze", US_national_yearly!$D:$AM, 28, FALSE) / VLOOKUP("electricity|NOx|Asthma symptoms wheeze", US_national_yearly!$D:$AM, 10, FALSE), 1)</f>
        <v>1.7579067438333866E-3</v>
      </c>
      <c r="U8" s="7">
        <f>$B8 * IFERROR(VLOOKUP("electricity|NOx|Asthma symptoms wheeze", US_national_yearly!$D:$AM, 29, FALSE) / VLOOKUP("electricity|NOx|Asthma symptoms wheeze", US_national_yearly!$D:$AM, 10, FALSE), 1)</f>
        <v>1.7668105128714185E-3</v>
      </c>
      <c r="V8" s="7">
        <f>$B8 * IFERROR(VLOOKUP("electricity|NOx|Asthma symptoms wheeze", US_national_yearly!$D:$AM, 30, FALSE) / VLOOKUP("electricity|NOx|Asthma symptoms wheeze", US_national_yearly!$D:$AM, 10, FALSE), 1)</f>
        <v>1.7757142819094507E-3</v>
      </c>
      <c r="W8" s="7">
        <f>$B8 * IFERROR(VLOOKUP("electricity|NOx|Asthma symptoms wheeze", US_national_yearly!$D:$AM, 31, FALSE) / VLOOKUP("electricity|NOx|Asthma symptoms wheeze", US_national_yearly!$D:$AM, 10, FALSE), 1)</f>
        <v>1.784618050947483E-3</v>
      </c>
      <c r="X8" s="7">
        <f>$B8 * IFERROR(VLOOKUP("electricity|NOx|Asthma symptoms wheeze", US_national_yearly!$D:$AM, 32, FALSE) / VLOOKUP("electricity|NOx|Asthma symptoms wheeze", US_national_yearly!$D:$AM, 10, FALSE), 1)</f>
        <v>1.7928211527950756E-3</v>
      </c>
      <c r="Y8" s="7">
        <f>$B8 * IFERROR(VLOOKUP("electricity|NOx|Asthma symptoms wheeze", US_national_yearly!$D:$AM, 33, FALSE) / VLOOKUP("electricity|NOx|Asthma symptoms wheeze", US_national_yearly!$D:$AM, 10, FALSE), 1)</f>
        <v>1.801024254642669E-3</v>
      </c>
      <c r="Z8" s="7">
        <f>$B8 * IFERROR(VLOOKUP("electricity|NOx|Asthma symptoms wheeze", US_national_yearly!$D:$AM, 34, FALSE) / VLOOKUP("electricity|NOx|Asthma symptoms wheeze", US_national_yearly!$D:$AM, 10, FALSE), 1)</f>
        <v>1.8092273564902614E-3</v>
      </c>
      <c r="AA8" s="7">
        <f>$B8 * IFERROR(VLOOKUP("electricity|NOx|Asthma symptoms wheeze", US_national_yearly!$D:$AM, 35, FALSE) / VLOOKUP("electricity|NOx|Asthma symptoms wheeze", US_national_yearly!$D:$AM, 10, FALSE), 1)</f>
        <v>1.8174304583378545E-3</v>
      </c>
      <c r="AB8" s="7">
        <f>$B8 * IFERROR(VLOOKUP("electricity|NOx|Asthma symptoms wheeze", US_national_yearly!$D:$AM, 36, FALSE) / VLOOKUP("electricity|NOx|Asthma symptoms wheeze", US_national_yearly!$D:$AM, 10, FALSE), 1)</f>
        <v>1.8256335601854474E-3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2.8122860258203E-5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2.8843133681262117E-5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2.956340710432124E-5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3.0283680527380353E-5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3.1003953950439463E-5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3.1697328247439116E-5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3.2390702544438769E-5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3.2986947397078633E-5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3.3583192249718498E-5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3.4179437102358376E-5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3.4775681954998241E-5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3.5371926807638113E-5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3.5780540892253485E-5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3.6189154976868851E-5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3.6597769061484217E-5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3.7006383146099582E-5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3.7414997230714948E-5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3.7647715987996465E-5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3.7880434745277982E-5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3.8113153502559492E-5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3.8345872259841002E-5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3.8578591017122519E-5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3.8747857979551419E-5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3.8917124941980319E-5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3.9086391904409225E-5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3.9255658866838132E-5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3.9424925829267025E-5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1.5222986810757027E-4</v>
      </c>
      <c r="C13" s="7">
        <f>$B13 * IFERROR(VLOOKUP("electricity|NOx|Non-fatal heart attacks", US_national_yearly!$D:$AM, 11, FALSE) / VLOOKUP("electricity|NOx|Non-fatal heart attacks", US_national_yearly!$D:$AM, 10, FALSE), 1)</f>
        <v>1.5659844593666412E-4</v>
      </c>
      <c r="D13" s="7">
        <f>$B13 * IFERROR(VLOOKUP("electricity|NOx|Non-fatal heart attacks", US_national_yearly!$D:$AM, 12, FALSE) / VLOOKUP("electricity|NOx|Non-fatal heart attacks", US_national_yearly!$D:$AM, 10, FALSE), 1)</f>
        <v>1.60967023765758E-4</v>
      </c>
      <c r="E13" s="7">
        <f>$B13 * IFERROR(VLOOKUP("electricity|NOx|Non-fatal heart attacks", US_national_yearly!$D:$AM, 13, FALSE) / VLOOKUP("electricity|NOx|Non-fatal heart attacks", US_national_yearly!$D:$AM, 10, FALSE), 1)</f>
        <v>1.6533560159485186E-4</v>
      </c>
      <c r="F13" s="7">
        <f>$B13 * IFERROR(VLOOKUP("electricity|NOx|Non-fatal heart attacks", US_national_yearly!$D:$AM, 14, FALSE) / VLOOKUP("electricity|NOx|Non-fatal heart attacks", US_national_yearly!$D:$AM, 10, FALSE), 1)</f>
        <v>1.6970417942394574E-4</v>
      </c>
      <c r="G13" s="7">
        <f>$B13 * IFERROR(VLOOKUP("electricity|NOx|Non-fatal heart attacks", US_national_yearly!$D:$AM, 15, FALSE) / VLOOKUP("electricity|NOx|Non-fatal heart attacks", US_national_yearly!$D:$AM, 10, FALSE), 1)</f>
        <v>1.7381954735405669E-4</v>
      </c>
      <c r="H13" s="7">
        <f>$B13 * IFERROR(VLOOKUP("electricity|NOx|Non-fatal heart attacks", US_national_yearly!$D:$AM, 16, FALSE) / VLOOKUP("electricity|NOx|Non-fatal heart attacks", US_national_yearly!$D:$AM, 10, FALSE), 1)</f>
        <v>1.7793491528416761E-4</v>
      </c>
      <c r="I13" s="7">
        <f>$B13 * IFERROR(VLOOKUP("electricity|NOx|Non-fatal heart attacks", US_national_yearly!$D:$AM, 17, FALSE) / VLOOKUP("electricity|NOx|Non-fatal heart attacks", US_national_yearly!$D:$AM, 10, FALSE), 1)</f>
        <v>1.812350240151619E-4</v>
      </c>
      <c r="J13" s="7">
        <f>$B13 * IFERROR(VLOOKUP("electricity|NOx|Non-fatal heart attacks", US_national_yearly!$D:$AM, 18, FALSE) / VLOOKUP("electricity|NOx|Non-fatal heart attacks", US_national_yearly!$D:$AM, 10, FALSE), 1)</f>
        <v>1.8453513274615621E-4</v>
      </c>
      <c r="K13" s="7">
        <f>$B13 * IFERROR(VLOOKUP("electricity|NOx|Non-fatal heart attacks", US_national_yearly!$D:$AM, 19, FALSE) / VLOOKUP("electricity|NOx|Non-fatal heart attacks", US_national_yearly!$D:$AM, 10, FALSE), 1)</f>
        <v>1.8783524147715036E-4</v>
      </c>
      <c r="L13" s="7">
        <f>$B13 * IFERROR(VLOOKUP("electricity|NOx|Non-fatal heart attacks", US_national_yearly!$D:$AM, 20, FALSE) / VLOOKUP("electricity|NOx|Non-fatal heart attacks", US_national_yearly!$D:$AM, 10, FALSE), 1)</f>
        <v>1.9113535020814468E-4</v>
      </c>
      <c r="M13" s="7">
        <f>$B13 * IFERROR(VLOOKUP("electricity|NOx|Non-fatal heart attacks", US_national_yearly!$D:$AM, 21, FALSE) / VLOOKUP("electricity|NOx|Non-fatal heart attacks", US_national_yearly!$D:$AM, 10, FALSE), 1)</f>
        <v>1.9443545893913902E-4</v>
      </c>
      <c r="N13" s="7">
        <f>$B13 * IFERROR(VLOOKUP("electricity|NOx|Non-fatal heart attacks", US_national_yearly!$D:$AM, 22, FALSE) / VLOOKUP("electricity|NOx|Non-fatal heart attacks", US_national_yearly!$D:$AM, 10, FALSE), 1)</f>
        <v>1.9647070456138281E-4</v>
      </c>
      <c r="O13" s="7">
        <f>$B13 * IFERROR(VLOOKUP("electricity|NOx|Non-fatal heart attacks", US_national_yearly!$D:$AM, 23, FALSE) / VLOOKUP("electricity|NOx|Non-fatal heart attacks", US_national_yearly!$D:$AM, 10, FALSE), 1)</f>
        <v>1.9850595018362666E-4</v>
      </c>
      <c r="P13" s="7">
        <f>$B13 * IFERROR(VLOOKUP("electricity|NOx|Non-fatal heart attacks", US_national_yearly!$D:$AM, 24, FALSE) / VLOOKUP("electricity|NOx|Non-fatal heart attacks", US_national_yearly!$D:$AM, 10, FALSE), 1)</f>
        <v>2.005411958058705E-4</v>
      </c>
      <c r="Q13" s="7">
        <f>$B13 * IFERROR(VLOOKUP("electricity|NOx|Non-fatal heart attacks", US_national_yearly!$D:$AM, 25, FALSE) / VLOOKUP("electricity|NOx|Non-fatal heart attacks", US_national_yearly!$D:$AM, 10, FALSE), 1)</f>
        <v>2.0257644142811432E-4</v>
      </c>
      <c r="R13" s="7">
        <f>$B13 * IFERROR(VLOOKUP("electricity|NOx|Non-fatal heart attacks", US_national_yearly!$D:$AM, 26, FALSE) / VLOOKUP("electricity|NOx|Non-fatal heart attacks", US_national_yearly!$D:$AM, 10, FALSE), 1)</f>
        <v>2.0461168705035814E-4</v>
      </c>
      <c r="S13" s="7">
        <f>$B13 * IFERROR(VLOOKUP("electricity|NOx|Non-fatal heart attacks", US_national_yearly!$D:$AM, 27, FALSE) / VLOOKUP("electricity|NOx|Non-fatal heart attacks", US_national_yearly!$D:$AM, 10, FALSE), 1)</f>
        <v>2.056061012809309E-4</v>
      </c>
      <c r="T13" s="7">
        <f>$B13 * IFERROR(VLOOKUP("electricity|NOx|Non-fatal heart attacks", US_national_yearly!$D:$AM, 28, FALSE) / VLOOKUP("electricity|NOx|Non-fatal heart attacks", US_national_yearly!$D:$AM, 10, FALSE), 1)</f>
        <v>2.0660051551150364E-4</v>
      </c>
      <c r="U13" s="7">
        <f>$B13 * IFERROR(VLOOKUP("electricity|NOx|Non-fatal heart attacks", US_national_yearly!$D:$AM, 29, FALSE) / VLOOKUP("electricity|NOx|Non-fatal heart attacks", US_national_yearly!$D:$AM, 10, FALSE), 1)</f>
        <v>2.0759492974207642E-4</v>
      </c>
      <c r="V13" s="7">
        <f>$B13 * IFERROR(VLOOKUP("electricity|NOx|Non-fatal heart attacks", US_national_yearly!$D:$AM, 30, FALSE) / VLOOKUP("electricity|NOx|Non-fatal heart attacks", US_national_yearly!$D:$AM, 10, FALSE), 1)</f>
        <v>2.0858934397264916E-4</v>
      </c>
      <c r="W13" s="7">
        <f>$B13 * IFERROR(VLOOKUP("electricity|NOx|Non-fatal heart attacks", US_national_yearly!$D:$AM, 31, FALSE) / VLOOKUP("electricity|NOx|Non-fatal heart attacks", US_national_yearly!$D:$AM, 10, FALSE), 1)</f>
        <v>2.0958375820322194E-4</v>
      </c>
      <c r="X13" s="7">
        <f>$B13 * IFERROR(VLOOKUP("electricity|NOx|Non-fatal heart attacks", US_national_yearly!$D:$AM, 32, FALSE) / VLOOKUP("electricity|NOx|Non-fatal heart attacks", US_national_yearly!$D:$AM, 10, FALSE), 1)</f>
        <v>2.102778329094774E-4</v>
      </c>
      <c r="Y13" s="7">
        <f>$B13 * IFERROR(VLOOKUP("electricity|NOx|Non-fatal heart attacks", US_national_yearly!$D:$AM, 33, FALSE) / VLOOKUP("electricity|NOx|Non-fatal heart attacks", US_national_yearly!$D:$AM, 10, FALSE), 1)</f>
        <v>2.1097190761573291E-4</v>
      </c>
      <c r="Z13" s="7">
        <f>$B13 * IFERROR(VLOOKUP("electricity|NOx|Non-fatal heart attacks", US_national_yearly!$D:$AM, 34, FALSE) / VLOOKUP("electricity|NOx|Non-fatal heart attacks", US_national_yearly!$D:$AM, 10, FALSE), 1)</f>
        <v>2.1166598232198836E-4</v>
      </c>
      <c r="AA13" s="7">
        <f>$B13 * IFERROR(VLOOKUP("electricity|NOx|Non-fatal heart attacks", US_national_yearly!$D:$AM, 35, FALSE) / VLOOKUP("electricity|NOx|Non-fatal heart attacks", US_national_yearly!$D:$AM, 10, FALSE), 1)</f>
        <v>2.1236005702824379E-4</v>
      </c>
      <c r="AB13" s="7">
        <f>$B13 * IFERROR(VLOOKUP("electricity|NOx|Non-fatal heart attacks", US_national_yearly!$D:$AM, 36, FALSE) / VLOOKUP("electricity|NOx|Non-fatal heart attacks", US_national_yearly!$D:$AM, 10, FALSE), 1)</f>
        <v>2.130541317344993E-4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9.1800468472263128E-2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9.194121863417809E-2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9.2081968796093067E-2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9.2222718958008029E-2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9.236346911992302E-2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9.2608986588524456E-2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9.2854504057125878E-2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9.3340258706072918E-2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9.3826013355019916E-2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9.4311768003966956E-2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9.4797522652913954E-2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9.5283277301860994E-2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9.598571933751561E-2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9.6688161373170212E-2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9.73906034088248E-2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9.8093045444479415E-2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9.8795487480134031E-2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9.9503241608937351E-2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0.10021099573774067</v>
      </c>
      <c r="U14" s="7">
        <f>$B14 * IFERROR(VLOOKUP("electricity|NOx|Minor restricted activity days", US_national_yearly!$D:$AM, 29, FALSE) / VLOOKUP("electricity|NOx|Minor restricted activity days", US_national_yearly!$D:$AM, 10, FALSE), 1)</f>
        <v>0.10091874986654402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0.10162650399534734</v>
      </c>
      <c r="W14" s="7">
        <f>$B14 * IFERROR(VLOOKUP("electricity|NOx|Minor restricted activity days", US_national_yearly!$D:$AM, 31, FALSE) / VLOOKUP("electricity|NOx|Minor restricted activity days", US_national_yearly!$D:$AM, 10, FALSE), 1)</f>
        <v>0.10233425812415066</v>
      </c>
      <c r="X14" s="7">
        <f>$B14 * IFERROR(VLOOKUP("electricity|NOx|Minor restricted activity days", US_national_yearly!$D:$AM, 32, FALSE) / VLOOKUP("electricity|NOx|Minor restricted activity days", US_national_yearly!$D:$AM, 10, FALSE), 1)</f>
        <v>0.10293280837268376</v>
      </c>
      <c r="Y14" s="7">
        <f>$B14 * IFERROR(VLOOKUP("electricity|NOx|Minor restricted activity days", US_national_yearly!$D:$AM, 33, FALSE) / VLOOKUP("electricity|NOx|Minor restricted activity days", US_national_yearly!$D:$AM, 10, FALSE), 1)</f>
        <v>0.10353135862121679</v>
      </c>
      <c r="Z14" s="7">
        <f>$B14 * IFERROR(VLOOKUP("electricity|NOx|Minor restricted activity days", US_national_yearly!$D:$AM, 34, FALSE) / VLOOKUP("electricity|NOx|Minor restricted activity days", US_national_yearly!$D:$AM, 10, FALSE), 1)</f>
        <v>0.10412990886974997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0.10472845911828305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0.10532700936681613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1.5490374918132736E-2</v>
      </c>
      <c r="C15" s="7">
        <f>$B15 * IFERROR(VLOOKUP("electricity|NOx|Work loss days", US_national_yearly!$D:$AM, 11, FALSE) / VLOOKUP("electricity|NOx|Work loss days", US_national_yearly!$D:$AM, 10, FALSE), 1)</f>
        <v>1.5524923990465778E-2</v>
      </c>
      <c r="D15" s="7">
        <f>$B15 * IFERROR(VLOOKUP("electricity|NOx|Work loss days", US_national_yearly!$D:$AM, 12, FALSE) / VLOOKUP("electricity|NOx|Work loss days", US_national_yearly!$D:$AM, 10, FALSE), 1)</f>
        <v>1.5559473062798819E-2</v>
      </c>
      <c r="E15" s="7">
        <f>$B15 * IFERROR(VLOOKUP("electricity|NOx|Work loss days", US_national_yearly!$D:$AM, 13, FALSE) / VLOOKUP("electricity|NOx|Work loss days", US_national_yearly!$D:$AM, 10, FALSE), 1)</f>
        <v>1.5594022135131861E-2</v>
      </c>
      <c r="F15" s="7">
        <f>$B15 * IFERROR(VLOOKUP("electricity|NOx|Work loss days", US_national_yearly!$D:$AM, 14, FALSE) / VLOOKUP("electricity|NOx|Work loss days", US_national_yearly!$D:$AM, 10, FALSE), 1)</f>
        <v>1.5628571207464904E-2</v>
      </c>
      <c r="G15" s="7">
        <f>$B15 * IFERROR(VLOOKUP("electricity|NOx|Work loss days", US_national_yearly!$D:$AM, 15, FALSE) / VLOOKUP("electricity|NOx|Work loss days", US_national_yearly!$D:$AM, 10, FALSE), 1)</f>
        <v>1.5677277479361908E-2</v>
      </c>
      <c r="H15" s="7">
        <f>$B15 * IFERROR(VLOOKUP("electricity|NOx|Work loss days", US_national_yearly!$D:$AM, 16, FALSE) / VLOOKUP("electricity|NOx|Work loss days", US_national_yearly!$D:$AM, 10, FALSE), 1)</f>
        <v>1.5725983751258912E-2</v>
      </c>
      <c r="I15" s="7">
        <f>$B15 * IFERROR(VLOOKUP("electricity|NOx|Work loss days", US_national_yearly!$D:$AM, 17, FALSE) / VLOOKUP("electricity|NOx|Work loss days", US_national_yearly!$D:$AM, 10, FALSE), 1)</f>
        <v>1.5805069661740914E-2</v>
      </c>
      <c r="J15" s="7">
        <f>$B15 * IFERROR(VLOOKUP("electricity|NOx|Work loss days", US_national_yearly!$D:$AM, 18, FALSE) / VLOOKUP("electricity|NOx|Work loss days", US_national_yearly!$D:$AM, 10, FALSE), 1)</f>
        <v>1.5884155572222912E-2</v>
      </c>
      <c r="K15" s="7">
        <f>$B15 * IFERROR(VLOOKUP("electricity|NOx|Work loss days", US_national_yearly!$D:$AM, 19, FALSE) / VLOOKUP("electricity|NOx|Work loss days", US_national_yearly!$D:$AM, 10, FALSE), 1)</f>
        <v>1.5963241482704907E-2</v>
      </c>
      <c r="L15" s="7">
        <f>$B15 * IFERROR(VLOOKUP("electricity|NOx|Work loss days", US_national_yearly!$D:$AM, 20, FALSE) / VLOOKUP("electricity|NOx|Work loss days", US_national_yearly!$D:$AM, 10, FALSE), 1)</f>
        <v>1.6042327393186905E-2</v>
      </c>
      <c r="M15" s="7">
        <f>$B15 * IFERROR(VLOOKUP("electricity|NOx|Work loss days", US_national_yearly!$D:$AM, 21, FALSE) / VLOOKUP("electricity|NOx|Work loss days", US_national_yearly!$D:$AM, 10, FALSE), 1)</f>
        <v>1.61214133036689E-2</v>
      </c>
      <c r="N15" s="7">
        <f>$B15 * IFERROR(VLOOKUP("electricity|NOx|Work loss days", US_national_yearly!$D:$AM, 22, FALSE) / VLOOKUP("electricity|NOx|Work loss days", US_national_yearly!$D:$AM, 10, FALSE), 1)</f>
        <v>1.6225756807244415E-2</v>
      </c>
      <c r="O15" s="7">
        <f>$B15 * IFERROR(VLOOKUP("electricity|NOx|Work loss days", US_national_yearly!$D:$AM, 23, FALSE) / VLOOKUP("electricity|NOx|Work loss days", US_national_yearly!$D:$AM, 10, FALSE), 1)</f>
        <v>1.6330100310819929E-2</v>
      </c>
      <c r="P15" s="7">
        <f>$B15 * IFERROR(VLOOKUP("electricity|NOx|Work loss days", US_national_yearly!$D:$AM, 24, FALSE) / VLOOKUP("electricity|NOx|Work loss days", US_national_yearly!$D:$AM, 10, FALSE), 1)</f>
        <v>1.6434443814395443E-2</v>
      </c>
      <c r="Q15" s="7">
        <f>$B15 * IFERROR(VLOOKUP("electricity|NOx|Work loss days", US_national_yearly!$D:$AM, 25, FALSE) / VLOOKUP("electricity|NOx|Work loss days", US_national_yearly!$D:$AM, 10, FALSE), 1)</f>
        <v>1.6538787317970961E-2</v>
      </c>
      <c r="R15" s="7">
        <f>$B15 * IFERROR(VLOOKUP("electricity|NOx|Work loss days", US_national_yearly!$D:$AM, 26, FALSE) / VLOOKUP("electricity|NOx|Work loss days", US_national_yearly!$D:$AM, 10, FALSE), 1)</f>
        <v>1.6643130821546469E-2</v>
      </c>
      <c r="S15" s="7">
        <f>$B15 * IFERROR(VLOOKUP("electricity|NOx|Work loss days", US_national_yearly!$D:$AM, 27, FALSE) / VLOOKUP("electricity|NOx|Work loss days", US_national_yearly!$D:$AM, 10, FALSE), 1)</f>
        <v>1.6760061004419218E-2</v>
      </c>
      <c r="T15" s="7">
        <f>$B15 * IFERROR(VLOOKUP("electricity|NOx|Work loss days", US_national_yearly!$D:$AM, 28, FALSE) / VLOOKUP("electricity|NOx|Work loss days", US_national_yearly!$D:$AM, 10, FALSE), 1)</f>
        <v>1.6876991187291964E-2</v>
      </c>
      <c r="U15" s="7">
        <f>$B15 * IFERROR(VLOOKUP("electricity|NOx|Work loss days", US_national_yearly!$D:$AM, 29, FALSE) / VLOOKUP("electricity|NOx|Work loss days", US_national_yearly!$D:$AM, 10, FALSE), 1)</f>
        <v>1.699392137016471E-2</v>
      </c>
      <c r="V15" s="7">
        <f>$B15 * IFERROR(VLOOKUP("electricity|NOx|Work loss days", US_national_yearly!$D:$AM, 30, FALSE) / VLOOKUP("electricity|NOx|Work loss days", US_national_yearly!$D:$AM, 10, FALSE), 1)</f>
        <v>1.7110851553037456E-2</v>
      </c>
      <c r="W15" s="7">
        <f>$B15 * IFERROR(VLOOKUP("electricity|NOx|Work loss days", US_national_yearly!$D:$AM, 31, FALSE) / VLOOKUP("electricity|NOx|Work loss days", US_national_yearly!$D:$AM, 10, FALSE), 1)</f>
        <v>1.7227781735910205E-2</v>
      </c>
      <c r="X15" s="7">
        <f>$B15 * IFERROR(VLOOKUP("electricity|NOx|Work loss days", US_national_yearly!$D:$AM, 32, FALSE) / VLOOKUP("electricity|NOx|Work loss days", US_national_yearly!$D:$AM, 10, FALSE), 1)</f>
        <v>1.7329710282587046E-2</v>
      </c>
      <c r="Y15" s="7">
        <f>$B15 * IFERROR(VLOOKUP("electricity|NOx|Work loss days", US_national_yearly!$D:$AM, 33, FALSE) / VLOOKUP("electricity|NOx|Work loss days", US_national_yearly!$D:$AM, 10, FALSE), 1)</f>
        <v>1.7431638829263886E-2</v>
      </c>
      <c r="Z15" s="7">
        <f>$B15 * IFERROR(VLOOKUP("electricity|NOx|Work loss days", US_national_yearly!$D:$AM, 34, FALSE) / VLOOKUP("electricity|NOx|Work loss days", US_national_yearly!$D:$AM, 10, FALSE), 1)</f>
        <v>1.7533567375940726E-2</v>
      </c>
      <c r="AA15" s="7">
        <f>$B15 * IFERROR(VLOOKUP("electricity|NOx|Work loss days", US_national_yearly!$D:$AM, 35, FALSE) / VLOOKUP("electricity|NOx|Work loss days", US_national_yearly!$D:$AM, 10, FALSE), 1)</f>
        <v>1.763549592261757E-2</v>
      </c>
      <c r="AB15" s="7">
        <f>$B15 * IFERROR(VLOOKUP("electricity|NOx|Work loss days", US_national_yearly!$D:$AM, 36, FALSE) / VLOOKUP("electricity|NOx|Work loss days", US_national_yearly!$D:$AM, 10, FALSE), 1)</f>
        <v>1.7737424469294411E-2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3.8232900559073876E-5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3.9359113094939386E-5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4.0485325630804896E-5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4.1611538166670406E-5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4.2737750702535922E-5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4.3816186648582314E-5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4.4894622594628705E-5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4.5815123035814502E-5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4.6735623477000312E-5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4.7656123918186116E-5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4.8576624359371926E-5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4.9497124800557723E-5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5.0087876323648626E-5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5.0678627846739522E-5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5.1269379369830424E-5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5.186013089292132E-5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5.2450882416012223E-5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5.2741601651454435E-5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5.3032320886896647E-5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5.3323040122338859E-5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5.3613759357781085E-5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5.3904478593223297E-5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5.4078717673595864E-5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5.4252956753968431E-5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5.4427195834340998E-5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5.4601434914713565E-5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5.4775673995086132E-5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6.9208802419535011E-5</v>
      </c>
      <c r="C2" s="7">
        <f>$B2 * IFERROR(VLOOKUP("electricity|SO2|Premature mortality", US_national_yearly!$D:$AM, 11, FALSE) / VLOOKUP("electricity|SO2|Premature mortality", US_national_yearly!$D:$AM, 10, FALSE), 1)</f>
        <v>7.0096075233474847E-5</v>
      </c>
      <c r="D2" s="7">
        <f>$B2 * IFERROR(VLOOKUP("electricity|SO2|Premature mortality", US_national_yearly!$D:$AM, 12, FALSE) / VLOOKUP("electricity|SO2|Premature mortality", US_national_yearly!$D:$AM, 10, FALSE), 1)</f>
        <v>7.0983348047414682E-5</v>
      </c>
      <c r="E2" s="7">
        <f>$B2 * IFERROR(VLOOKUP("electricity|SO2|Premature mortality", US_national_yearly!$D:$AM, 13, FALSE) / VLOOKUP("electricity|SO2|Premature mortality", US_national_yearly!$D:$AM, 10, FALSE), 1)</f>
        <v>7.1870620861354517E-5</v>
      </c>
      <c r="F2" s="7">
        <f>$B2 * IFERROR(VLOOKUP("electricity|SO2|Premature mortality", US_national_yearly!$D:$AM, 14, FALSE) / VLOOKUP("electricity|SO2|Premature mortality", US_national_yearly!$D:$AM, 10, FALSE), 1)</f>
        <v>7.2757893675294352E-5</v>
      </c>
      <c r="G2" s="7">
        <f>$B2 * IFERROR(VLOOKUP("electricity|SO2|Premature mortality", US_national_yearly!$D:$AM, 15, FALSE) / VLOOKUP("electricity|SO2|Premature mortality", US_national_yearly!$D:$AM, 10, FALSE), 1)</f>
        <v>7.4467136996177007E-5</v>
      </c>
      <c r="H2" s="7">
        <f>$B2 * IFERROR(VLOOKUP("electricity|SO2|Premature mortality", US_national_yearly!$D:$AM, 16, FALSE) / VLOOKUP("electricity|SO2|Premature mortality", US_national_yearly!$D:$AM, 10, FALSE), 1)</f>
        <v>7.6176380317059662E-5</v>
      </c>
      <c r="I2" s="7">
        <f>$B2 * IFERROR(VLOOKUP("electricity|SO2|Premature mortality", US_national_yearly!$D:$AM, 17, FALSE) / VLOOKUP("electricity|SO2|Premature mortality", US_national_yearly!$D:$AM, 10, FALSE), 1)</f>
        <v>7.7326937146609593E-5</v>
      </c>
      <c r="J2" s="7">
        <f>$B2 * IFERROR(VLOOKUP("electricity|SO2|Premature mortality", US_national_yearly!$D:$AM, 18, FALSE) / VLOOKUP("electricity|SO2|Premature mortality", US_national_yearly!$D:$AM, 10, FALSE), 1)</f>
        <v>7.8477493976159525E-5</v>
      </c>
      <c r="K2" s="7">
        <f>$B2 * IFERROR(VLOOKUP("electricity|SO2|Premature mortality", US_national_yearly!$D:$AM, 19, FALSE) / VLOOKUP("electricity|SO2|Premature mortality", US_national_yearly!$D:$AM, 10, FALSE), 1)</f>
        <v>7.9628050805709429E-5</v>
      </c>
      <c r="L2" s="7">
        <f>$B2 * IFERROR(VLOOKUP("electricity|SO2|Premature mortality", US_national_yearly!$D:$AM, 20, FALSE) / VLOOKUP("electricity|SO2|Premature mortality", US_national_yearly!$D:$AM, 10, FALSE), 1)</f>
        <v>8.0778607635259374E-5</v>
      </c>
      <c r="M2" s="7">
        <f>$B2 * IFERROR(VLOOKUP("electricity|SO2|Premature mortality", US_national_yearly!$D:$AM, 21, FALSE) / VLOOKUP("electricity|SO2|Premature mortality", US_national_yearly!$D:$AM, 10, FALSE), 1)</f>
        <v>8.1929164464809292E-5</v>
      </c>
      <c r="N2" s="7">
        <f>$B2 * IFERROR(VLOOKUP("electricity|SO2|Premature mortality", US_national_yearly!$D:$AM, 22, FALSE) / VLOOKUP("electricity|SO2|Premature mortality", US_national_yearly!$D:$AM, 10, FALSE), 1)</f>
        <v>8.2851244059298064E-5</v>
      </c>
      <c r="O2" s="7">
        <f>$B2 * IFERROR(VLOOKUP("electricity|SO2|Premature mortality", US_national_yearly!$D:$AM, 23, FALSE) / VLOOKUP("electricity|SO2|Premature mortality", US_national_yearly!$D:$AM, 10, FALSE), 1)</f>
        <v>8.3773323653786849E-5</v>
      </c>
      <c r="P2" s="7">
        <f>$B2 * IFERROR(VLOOKUP("electricity|SO2|Premature mortality", US_national_yearly!$D:$AM, 24, FALSE) / VLOOKUP("electricity|SO2|Premature mortality", US_national_yearly!$D:$AM, 10, FALSE), 1)</f>
        <v>8.4695403248275593E-5</v>
      </c>
      <c r="Q2" s="7">
        <f>$B2 * IFERROR(VLOOKUP("electricity|SO2|Premature mortality", US_national_yearly!$D:$AM, 25, FALSE) / VLOOKUP("electricity|SO2|Premature mortality", US_national_yearly!$D:$AM, 10, FALSE), 1)</f>
        <v>8.5617482842764364E-5</v>
      </c>
      <c r="R2" s="7">
        <f>$B2 * IFERROR(VLOOKUP("electricity|SO2|Premature mortality", US_national_yearly!$D:$AM, 26, FALSE) / VLOOKUP("electricity|SO2|Premature mortality", US_national_yearly!$D:$AM, 10, FALSE), 1)</f>
        <v>8.6539562437253122E-5</v>
      </c>
      <c r="S2" s="7">
        <f>$B2 * IFERROR(VLOOKUP("electricity|SO2|Premature mortality", US_national_yearly!$D:$AM, 27, FALSE) / VLOOKUP("electricity|SO2|Premature mortality", US_national_yearly!$D:$AM, 10, FALSE), 1)</f>
        <v>8.7068217602299448E-5</v>
      </c>
      <c r="T2" s="7">
        <f>$B2 * IFERROR(VLOOKUP("electricity|SO2|Premature mortality", US_national_yearly!$D:$AM, 28, FALSE) / VLOOKUP("electricity|SO2|Premature mortality", US_national_yearly!$D:$AM, 10, FALSE), 1)</f>
        <v>8.75968727673458E-5</v>
      </c>
      <c r="U2" s="7">
        <f>$B2 * IFERROR(VLOOKUP("electricity|SO2|Premature mortality", US_national_yearly!$D:$AM, 29, FALSE) / VLOOKUP("electricity|SO2|Premature mortality", US_national_yearly!$D:$AM, 10, FALSE), 1)</f>
        <v>8.8125527932392112E-5</v>
      </c>
      <c r="V2" s="7">
        <f>$B2 * IFERROR(VLOOKUP("electricity|SO2|Premature mortality", US_national_yearly!$D:$AM, 30, FALSE) / VLOOKUP("electricity|SO2|Premature mortality", US_national_yearly!$D:$AM, 10, FALSE), 1)</f>
        <v>8.8654183097438465E-5</v>
      </c>
      <c r="W2" s="7">
        <f>$B2 * IFERROR(VLOOKUP("electricity|SO2|Premature mortality", US_national_yearly!$D:$AM, 31, FALSE) / VLOOKUP("electricity|SO2|Premature mortality", US_national_yearly!$D:$AM, 10, FALSE), 1)</f>
        <v>8.918283826248479E-5</v>
      </c>
      <c r="X2" s="7">
        <f>$B2 * IFERROR(VLOOKUP("electricity|SO2|Premature mortality", US_national_yearly!$D:$AM, 32, FALSE) / VLOOKUP("electricity|SO2|Premature mortality", US_national_yearly!$D:$AM, 10, FALSE), 1)</f>
        <v>8.9338604216920669E-5</v>
      </c>
      <c r="Y2" s="7">
        <f>$B2 * IFERROR(VLOOKUP("electricity|SO2|Premature mortality", US_national_yearly!$D:$AM, 33, FALSE) / VLOOKUP("electricity|SO2|Premature mortality", US_national_yearly!$D:$AM, 10, FALSE), 1)</f>
        <v>8.9494370171356533E-5</v>
      </c>
      <c r="Z2" s="7">
        <f>$B2 * IFERROR(VLOOKUP("electricity|SO2|Premature mortality", US_national_yearly!$D:$AM, 34, FALSE) / VLOOKUP("electricity|SO2|Premature mortality", US_national_yearly!$D:$AM, 10, FALSE), 1)</f>
        <v>8.9650136125792412E-5</v>
      </c>
      <c r="AA2" s="7">
        <f>$B2 * IFERROR(VLOOKUP("electricity|SO2|Premature mortality", US_national_yearly!$D:$AM, 35, FALSE) / VLOOKUP("electricity|SO2|Premature mortality", US_national_yearly!$D:$AM, 10, FALSE), 1)</f>
        <v>8.980590208022829E-5</v>
      </c>
      <c r="AB2" s="7">
        <f>$B2 * IFERROR(VLOOKUP("electricity|SO2|Premature mortality", US_national_yearly!$D:$AM, 36, FALSE) / VLOOKUP("electricity|SO2|Premature mortality", US_national_yearly!$D:$AM, 10, FALSE), 1)</f>
        <v>8.9961668034664155E-5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1.5930233334637387E-7</v>
      </c>
      <c r="C3" s="7">
        <f>$B3 * IFERROR(VLOOKUP("electricity|SO2|Infant mortality", US_national_yearly!$D:$AM, 11, FALSE) / VLOOKUP("electricity|SO2|Infant mortality", US_national_yearly!$D:$AM, 10, FALSE), 1)</f>
        <v>1.5795653152153058E-7</v>
      </c>
      <c r="D3" s="7">
        <f>$B3 * IFERROR(VLOOKUP("electricity|SO2|Infant mortality", US_national_yearly!$D:$AM, 12, FALSE) / VLOOKUP("electricity|SO2|Infant mortality", US_national_yearly!$D:$AM, 10, FALSE), 1)</f>
        <v>1.5661072969668727E-7</v>
      </c>
      <c r="E3" s="7">
        <f>$B3 * IFERROR(VLOOKUP("electricity|SO2|Infant mortality", US_national_yearly!$D:$AM, 13, FALSE) / VLOOKUP("electricity|SO2|Infant mortality", US_national_yearly!$D:$AM, 10, FALSE), 1)</f>
        <v>1.5526492787184393E-7</v>
      </c>
      <c r="F3" s="7">
        <f>$B3 * IFERROR(VLOOKUP("electricity|SO2|Infant mortality", US_national_yearly!$D:$AM, 14, FALSE) / VLOOKUP("electricity|SO2|Infant mortality", US_national_yearly!$D:$AM, 10, FALSE), 1)</f>
        <v>1.5391912604700066E-7</v>
      </c>
      <c r="G3" s="7">
        <f>$B3 * IFERROR(VLOOKUP("electricity|SO2|Infant mortality", US_national_yearly!$D:$AM, 15, FALSE) / VLOOKUP("electricity|SO2|Infant mortality", US_national_yearly!$D:$AM, 10, FALSE), 1)</f>
        <v>1.0236419202696446E-7</v>
      </c>
      <c r="H3" s="7">
        <f>$B3 * IFERROR(VLOOKUP("electricity|SO2|Infant mortality", US_national_yearly!$D:$AM, 16, FALSE) / VLOOKUP("electricity|SO2|Infant mortality", US_national_yearly!$D:$AM, 10, FALSE), 1)</f>
        <v>5.0809258006928271E-8</v>
      </c>
      <c r="I3" s="7">
        <f>$B3 * IFERROR(VLOOKUP("electricity|SO2|Infant mortality", US_national_yearly!$D:$AM, 17, FALSE) / VLOOKUP("electricity|SO2|Infant mortality", US_national_yearly!$D:$AM, 10, FALSE), 1)</f>
        <v>5.0484206762518591E-8</v>
      </c>
      <c r="J3" s="7">
        <f>$B3 * IFERROR(VLOOKUP("electricity|SO2|Infant mortality", US_national_yearly!$D:$AM, 18, FALSE) / VLOOKUP("electricity|SO2|Infant mortality", US_national_yearly!$D:$AM, 10, FALSE), 1)</f>
        <v>5.0159155518108904E-8</v>
      </c>
      <c r="K3" s="7">
        <f>$B3 * IFERROR(VLOOKUP("electricity|SO2|Infant mortality", US_national_yearly!$D:$AM, 19, FALSE) / VLOOKUP("electricity|SO2|Infant mortality", US_national_yearly!$D:$AM, 10, FALSE), 1)</f>
        <v>4.9834104273699236E-8</v>
      </c>
      <c r="L3" s="7">
        <f>$B3 * IFERROR(VLOOKUP("electricity|SO2|Infant mortality", US_national_yearly!$D:$AM, 20, FALSE) / VLOOKUP("electricity|SO2|Infant mortality", US_national_yearly!$D:$AM, 10, FALSE), 1)</f>
        <v>4.9509053029289549E-8</v>
      </c>
      <c r="M3" s="7">
        <f>$B3 * IFERROR(VLOOKUP("electricity|SO2|Infant mortality", US_national_yearly!$D:$AM, 21, FALSE) / VLOOKUP("electricity|SO2|Infant mortality", US_national_yearly!$D:$AM, 10, FALSE), 1)</f>
        <v>4.9184001784879869E-8</v>
      </c>
      <c r="N3" s="7">
        <f>$B3 * IFERROR(VLOOKUP("electricity|SO2|Infant mortality", US_national_yearly!$D:$AM, 22, FALSE) / VLOOKUP("electricity|SO2|Infant mortality", US_national_yearly!$D:$AM, 10, FALSE), 1)</f>
        <v>4.897803491241648E-8</v>
      </c>
      <c r="O3" s="7">
        <f>$B3 * IFERROR(VLOOKUP("electricity|SO2|Infant mortality", US_national_yearly!$D:$AM, 23, FALSE) / VLOOKUP("electricity|SO2|Infant mortality", US_national_yearly!$D:$AM, 10, FALSE), 1)</f>
        <v>4.8772068039953085E-8</v>
      </c>
      <c r="P3" s="7">
        <f>$B3 * IFERROR(VLOOKUP("electricity|SO2|Infant mortality", US_national_yearly!$D:$AM, 24, FALSE) / VLOOKUP("electricity|SO2|Infant mortality", US_national_yearly!$D:$AM, 10, FALSE), 1)</f>
        <v>4.8566101167489683E-8</v>
      </c>
      <c r="Q3" s="7">
        <f>$B3 * IFERROR(VLOOKUP("electricity|SO2|Infant mortality", US_national_yearly!$D:$AM, 25, FALSE) / VLOOKUP("electricity|SO2|Infant mortality", US_national_yearly!$D:$AM, 10, FALSE), 1)</f>
        <v>4.8360134295026301E-8</v>
      </c>
      <c r="R3" s="7">
        <f>$B3 * IFERROR(VLOOKUP("electricity|SO2|Infant mortality", US_national_yearly!$D:$AM, 26, FALSE) / VLOOKUP("electricity|SO2|Infant mortality", US_national_yearly!$D:$AM, 10, FALSE), 1)</f>
        <v>4.8154167422562912E-8</v>
      </c>
      <c r="S3" s="7">
        <f>$B3 * IFERROR(VLOOKUP("electricity|SO2|Infant mortality", US_national_yearly!$D:$AM, 27, FALSE) / VLOOKUP("electricity|SO2|Infant mortality", US_national_yearly!$D:$AM, 10, FALSE), 1)</f>
        <v>4.789745581426805E-8</v>
      </c>
      <c r="T3" s="7">
        <f>$B3 * IFERROR(VLOOKUP("electricity|SO2|Infant mortality", US_national_yearly!$D:$AM, 28, FALSE) / VLOOKUP("electricity|SO2|Infant mortality", US_national_yearly!$D:$AM, 10, FALSE), 1)</f>
        <v>4.7640744205973201E-8</v>
      </c>
      <c r="U3" s="7">
        <f>$B3 * IFERROR(VLOOKUP("electricity|SO2|Infant mortality", US_national_yearly!$D:$AM, 29, FALSE) / VLOOKUP("electricity|SO2|Infant mortality", US_national_yearly!$D:$AM, 10, FALSE), 1)</f>
        <v>4.7384032597678345E-8</v>
      </c>
      <c r="V3" s="7">
        <f>$B3 * IFERROR(VLOOKUP("electricity|SO2|Infant mortality", US_national_yearly!$D:$AM, 30, FALSE) / VLOOKUP("electricity|SO2|Infant mortality", US_national_yearly!$D:$AM, 10, FALSE), 1)</f>
        <v>4.7127320989383496E-8</v>
      </c>
      <c r="W3" s="7">
        <f>$B3 * IFERROR(VLOOKUP("electricity|SO2|Infant mortality", US_national_yearly!$D:$AM, 31, FALSE) / VLOOKUP("electricity|SO2|Infant mortality", US_national_yearly!$D:$AM, 10, FALSE), 1)</f>
        <v>4.6870609381088641E-8</v>
      </c>
      <c r="X3" s="7">
        <f>$B3 * IFERROR(VLOOKUP("electricity|SO2|Infant mortality", US_national_yearly!$D:$AM, 32, FALSE) / VLOOKUP("electricity|SO2|Infant mortality", US_national_yearly!$D:$AM, 10, FALSE), 1)</f>
        <v>4.6596705612559436E-8</v>
      </c>
      <c r="Y3" s="7">
        <f>$B3 * IFERROR(VLOOKUP("electricity|SO2|Infant mortality", US_national_yearly!$D:$AM, 33, FALSE) / VLOOKUP("electricity|SO2|Infant mortality", US_national_yearly!$D:$AM, 10, FALSE), 1)</f>
        <v>4.6322801844030219E-8</v>
      </c>
      <c r="Z3" s="7">
        <f>$B3 * IFERROR(VLOOKUP("electricity|SO2|Infant mortality", US_national_yearly!$D:$AM, 34, FALSE) / VLOOKUP("electricity|SO2|Infant mortality", US_national_yearly!$D:$AM, 10, FALSE), 1)</f>
        <v>4.6048898075501021E-8</v>
      </c>
      <c r="AA3" s="7">
        <f>$B3 * IFERROR(VLOOKUP("electricity|SO2|Infant mortality", US_national_yearly!$D:$AM, 35, FALSE) / VLOOKUP("electricity|SO2|Infant mortality", US_national_yearly!$D:$AM, 10, FALSE), 1)</f>
        <v>4.5774994306971823E-8</v>
      </c>
      <c r="AB3" s="7">
        <f>$B3 * IFERROR(VLOOKUP("electricity|SO2|Infant mortality", US_national_yearly!$D:$AM, 36, FALSE) / VLOOKUP("electricity|SO2|Infant mortality", US_national_yearly!$D:$AM, 10, FALSE), 1)</f>
        <v>4.5501090538442612E-8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1.6031421218630195E-4</v>
      </c>
      <c r="C6" s="7">
        <f>$B6 * IFERROR(VLOOKUP("electricity|SO2|Asthma symptoms cough", US_national_yearly!$D:$AM, 11, FALSE) / VLOOKUP("electricity|SO2|Asthma symptoms cough", US_national_yearly!$D:$AM, 10, FALSE), 1)</f>
        <v>1.6031421218630195E-4</v>
      </c>
      <c r="D6" s="7">
        <f>$B6 * IFERROR(VLOOKUP("electricity|SO2|Asthma symptoms cough", US_national_yearly!$D:$AM, 12, FALSE) / VLOOKUP("electricity|SO2|Asthma symptoms cough", US_national_yearly!$D:$AM, 10, FALSE), 1)</f>
        <v>1.6031421218630195E-4</v>
      </c>
      <c r="E6" s="7">
        <f>$B6 * IFERROR(VLOOKUP("electricity|SO2|Asthma symptoms cough", US_national_yearly!$D:$AM, 13, FALSE) / VLOOKUP("electricity|SO2|Asthma symptoms cough", US_national_yearly!$D:$AM, 10, FALSE), 1)</f>
        <v>1.6031421218630195E-4</v>
      </c>
      <c r="F6" s="7">
        <f>$B6 * IFERROR(VLOOKUP("electricity|SO2|Asthma symptoms cough", US_national_yearly!$D:$AM, 14, FALSE) / VLOOKUP("electricity|SO2|Asthma symptoms cough", US_national_yearly!$D:$AM, 10, FALSE), 1)</f>
        <v>1.6031421218630195E-4</v>
      </c>
      <c r="G6" s="7">
        <f>$B6 * IFERROR(VLOOKUP("electricity|SO2|Asthma symptoms cough", US_national_yearly!$D:$AM, 15, FALSE) / VLOOKUP("electricity|SO2|Asthma symptoms cough", US_national_yearly!$D:$AM, 10, FALSE), 1)</f>
        <v>1.6031421218630195E-4</v>
      </c>
      <c r="H6" s="7">
        <f>$B6 * IFERROR(VLOOKUP("electricity|SO2|Asthma symptoms cough", US_national_yearly!$D:$AM, 16, FALSE) / VLOOKUP("electricity|SO2|Asthma symptoms cough", US_national_yearly!$D:$AM, 10, FALSE), 1)</f>
        <v>1.6031421218630195E-4</v>
      </c>
      <c r="I6" s="7">
        <f>$B6 * IFERROR(VLOOKUP("electricity|SO2|Asthma symptoms cough", US_national_yearly!$D:$AM, 17, FALSE) / VLOOKUP("electricity|SO2|Asthma symptoms cough", US_national_yearly!$D:$AM, 10, FALSE), 1)</f>
        <v>1.6031421218630195E-4</v>
      </c>
      <c r="J6" s="7">
        <f>$B6 * IFERROR(VLOOKUP("electricity|SO2|Asthma symptoms cough", US_national_yearly!$D:$AM, 18, FALSE) / VLOOKUP("electricity|SO2|Asthma symptoms cough", US_national_yearly!$D:$AM, 10, FALSE), 1)</f>
        <v>1.6031421218630195E-4</v>
      </c>
      <c r="K6" s="7">
        <f>$B6 * IFERROR(VLOOKUP("electricity|SO2|Asthma symptoms cough", US_national_yearly!$D:$AM, 19, FALSE) / VLOOKUP("electricity|SO2|Asthma symptoms cough", US_national_yearly!$D:$AM, 10, FALSE), 1)</f>
        <v>1.6031421218630195E-4</v>
      </c>
      <c r="L6" s="7">
        <f>$B6 * IFERROR(VLOOKUP("electricity|SO2|Asthma symptoms cough", US_national_yearly!$D:$AM, 20, FALSE) / VLOOKUP("electricity|SO2|Asthma symptoms cough", US_national_yearly!$D:$AM, 10, FALSE), 1)</f>
        <v>1.6031421218630195E-4</v>
      </c>
      <c r="M6" s="7">
        <f>$B6 * IFERROR(VLOOKUP("electricity|SO2|Asthma symptoms cough", US_national_yearly!$D:$AM, 21, FALSE) / VLOOKUP("electricity|SO2|Asthma symptoms cough", US_national_yearly!$D:$AM, 10, FALSE), 1)</f>
        <v>1.6031421218630195E-4</v>
      </c>
      <c r="N6" s="7">
        <f>$B6 * IFERROR(VLOOKUP("electricity|SO2|Asthma symptoms cough", US_national_yearly!$D:$AM, 22, FALSE) / VLOOKUP("electricity|SO2|Asthma symptoms cough", US_national_yearly!$D:$AM, 10, FALSE), 1)</f>
        <v>1.6031421218630195E-4</v>
      </c>
      <c r="O6" s="7">
        <f>$B6 * IFERROR(VLOOKUP("electricity|SO2|Asthma symptoms cough", US_national_yearly!$D:$AM, 23, FALSE) / VLOOKUP("electricity|SO2|Asthma symptoms cough", US_national_yearly!$D:$AM, 10, FALSE), 1)</f>
        <v>1.6031421218630195E-4</v>
      </c>
      <c r="P6" s="7">
        <f>$B6 * IFERROR(VLOOKUP("electricity|SO2|Asthma symptoms cough", US_national_yearly!$D:$AM, 24, FALSE) / VLOOKUP("electricity|SO2|Asthma symptoms cough", US_national_yearly!$D:$AM, 10, FALSE), 1)</f>
        <v>1.6031421218630195E-4</v>
      </c>
      <c r="Q6" s="7">
        <f>$B6 * IFERROR(VLOOKUP("electricity|SO2|Asthma symptoms cough", US_national_yearly!$D:$AM, 25, FALSE) / VLOOKUP("electricity|SO2|Asthma symptoms cough", US_national_yearly!$D:$AM, 10, FALSE), 1)</f>
        <v>1.6031421218630195E-4</v>
      </c>
      <c r="R6" s="7">
        <f>$B6 * IFERROR(VLOOKUP("electricity|SO2|Asthma symptoms cough", US_national_yearly!$D:$AM, 26, FALSE) / VLOOKUP("electricity|SO2|Asthma symptoms cough", US_national_yearly!$D:$AM, 10, FALSE), 1)</f>
        <v>1.6031421218630195E-4</v>
      </c>
      <c r="S6" s="7">
        <f>$B6 * IFERROR(VLOOKUP("electricity|SO2|Asthma symptoms cough", US_national_yearly!$D:$AM, 27, FALSE) / VLOOKUP("electricity|SO2|Asthma symptoms cough", US_national_yearly!$D:$AM, 10, FALSE), 1)</f>
        <v>1.6031421218630195E-4</v>
      </c>
      <c r="T6" s="7">
        <f>$B6 * IFERROR(VLOOKUP("electricity|SO2|Asthma symptoms cough", US_national_yearly!$D:$AM, 28, FALSE) / VLOOKUP("electricity|SO2|Asthma symptoms cough", US_national_yearly!$D:$AM, 10, FALSE), 1)</f>
        <v>1.6031421218630195E-4</v>
      </c>
      <c r="U6" s="7">
        <f>$B6 * IFERROR(VLOOKUP("electricity|SO2|Asthma symptoms cough", US_national_yearly!$D:$AM, 29, FALSE) / VLOOKUP("electricity|SO2|Asthma symptoms cough", US_national_yearly!$D:$AM, 10, FALSE), 1)</f>
        <v>1.6031421218630195E-4</v>
      </c>
      <c r="V6" s="7">
        <f>$B6 * IFERROR(VLOOKUP("electricity|SO2|Asthma symptoms cough", US_national_yearly!$D:$AM, 30, FALSE) / VLOOKUP("electricity|SO2|Asthma symptoms cough", US_national_yearly!$D:$AM, 10, FALSE), 1)</f>
        <v>1.6031421218630195E-4</v>
      </c>
      <c r="W6" s="7">
        <f>$B6 * IFERROR(VLOOKUP("electricity|SO2|Asthma symptoms cough", US_national_yearly!$D:$AM, 31, FALSE) / VLOOKUP("electricity|SO2|Asthma symptoms cough", US_national_yearly!$D:$AM, 10, FALSE), 1)</f>
        <v>1.6031421218630195E-4</v>
      </c>
      <c r="X6" s="7">
        <f>$B6 * IFERROR(VLOOKUP("electricity|SO2|Asthma symptoms cough", US_national_yearly!$D:$AM, 32, FALSE) / VLOOKUP("electricity|SO2|Asthma symptoms cough", US_national_yearly!$D:$AM, 10, FALSE), 1)</f>
        <v>1.6031421218630195E-4</v>
      </c>
      <c r="Y6" s="7">
        <f>$B6 * IFERROR(VLOOKUP("electricity|SO2|Asthma symptoms cough", US_national_yearly!$D:$AM, 33, FALSE) / VLOOKUP("electricity|SO2|Asthma symptoms cough", US_national_yearly!$D:$AM, 10, FALSE), 1)</f>
        <v>1.6031421218630195E-4</v>
      </c>
      <c r="Z6" s="7">
        <f>$B6 * IFERROR(VLOOKUP("electricity|SO2|Asthma symptoms cough", US_national_yearly!$D:$AM, 34, FALSE) / VLOOKUP("electricity|SO2|Asthma symptoms cough", US_national_yearly!$D:$AM, 10, FALSE), 1)</f>
        <v>1.6031421218630195E-4</v>
      </c>
      <c r="AA6" s="7">
        <f>$B6 * IFERROR(VLOOKUP("electricity|SO2|Asthma symptoms cough", US_national_yearly!$D:$AM, 35, FALSE) / VLOOKUP("electricity|SO2|Asthma symptoms cough", US_national_yearly!$D:$AM, 10, FALSE), 1)</f>
        <v>1.6031421218630195E-4</v>
      </c>
      <c r="AB6" s="7">
        <f>$B6 * IFERROR(VLOOKUP("electricity|SO2|Asthma symptoms cough", US_national_yearly!$D:$AM, 36, FALSE) / VLOOKUP("electricity|SO2|Asthma symptoms cough", US_national_yearly!$D:$AM, 10, FALSE), 1)</f>
        <v>1.6031421218630195E-4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2.1588625912945833E-4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2.1588625912945833E-4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2.1588625912945833E-4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2.1588625912945833E-4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2.1588625912945833E-4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2.1588625912945833E-4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2.1588625912945833E-4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2.1588625912945833E-4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2.1588625912945833E-4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2.1588625912945833E-4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2.1588625912945833E-4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2.1588625912945833E-4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2.1588625912945833E-4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2.1588625912945833E-4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2.1588625912945833E-4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2.1588625912945833E-4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2.1588625912945833E-4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2.1588625912945833E-4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2.1588625912945833E-4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2.1588625912945833E-4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2.1588625912945833E-4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2.1588625912945833E-4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2.1588625912945833E-4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2.1588625912945833E-4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2.1588625912945833E-4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2.1588625912945833E-4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2.1588625912945833E-4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3.2983793676672726E-4</v>
      </c>
      <c r="C8" s="7">
        <f>$B8 * IFERROR(VLOOKUP("electricity|SO2|Asthma symptoms wheeze", US_national_yearly!$D:$AM, 11, FALSE) / VLOOKUP("electricity|SO2|Asthma symptoms wheeze", US_national_yearly!$D:$AM, 10, FALSE), 1)</f>
        <v>3.2983793676672726E-4</v>
      </c>
      <c r="D8" s="7">
        <f>$B8 * IFERROR(VLOOKUP("electricity|SO2|Asthma symptoms wheeze", US_national_yearly!$D:$AM, 12, FALSE) / VLOOKUP("electricity|SO2|Asthma symptoms wheeze", US_national_yearly!$D:$AM, 10, FALSE), 1)</f>
        <v>3.2983793676672726E-4</v>
      </c>
      <c r="E8" s="7">
        <f>$B8 * IFERROR(VLOOKUP("electricity|SO2|Asthma symptoms wheeze", US_national_yearly!$D:$AM, 13, FALSE) / VLOOKUP("electricity|SO2|Asthma symptoms wheeze", US_national_yearly!$D:$AM, 10, FALSE), 1)</f>
        <v>3.2983793676672726E-4</v>
      </c>
      <c r="F8" s="7">
        <f>$B8 * IFERROR(VLOOKUP("electricity|SO2|Asthma symptoms wheeze", US_national_yearly!$D:$AM, 14, FALSE) / VLOOKUP("electricity|SO2|Asthma symptoms wheeze", US_national_yearly!$D:$AM, 10, FALSE), 1)</f>
        <v>3.2983793676672726E-4</v>
      </c>
      <c r="G8" s="7">
        <f>$B8 * IFERROR(VLOOKUP("electricity|SO2|Asthma symptoms wheeze", US_national_yearly!$D:$AM, 15, FALSE) / VLOOKUP("electricity|SO2|Asthma symptoms wheeze", US_national_yearly!$D:$AM, 10, FALSE), 1)</f>
        <v>3.2983793676672726E-4</v>
      </c>
      <c r="H8" s="7">
        <f>$B8 * IFERROR(VLOOKUP("electricity|SO2|Asthma symptoms wheeze", US_national_yearly!$D:$AM, 16, FALSE) / VLOOKUP("electricity|SO2|Asthma symptoms wheeze", US_national_yearly!$D:$AM, 10, FALSE), 1)</f>
        <v>3.2983793676672726E-4</v>
      </c>
      <c r="I8" s="7">
        <f>$B8 * IFERROR(VLOOKUP("electricity|SO2|Asthma symptoms wheeze", US_national_yearly!$D:$AM, 17, FALSE) / VLOOKUP("electricity|SO2|Asthma symptoms wheeze", US_national_yearly!$D:$AM, 10, FALSE), 1)</f>
        <v>3.2983793676672726E-4</v>
      </c>
      <c r="J8" s="7">
        <f>$B8 * IFERROR(VLOOKUP("electricity|SO2|Asthma symptoms wheeze", US_national_yearly!$D:$AM, 18, FALSE) / VLOOKUP("electricity|SO2|Asthma symptoms wheeze", US_national_yearly!$D:$AM, 10, FALSE), 1)</f>
        <v>3.2983793676672726E-4</v>
      </c>
      <c r="K8" s="7">
        <f>$B8 * IFERROR(VLOOKUP("electricity|SO2|Asthma symptoms wheeze", US_national_yearly!$D:$AM, 19, FALSE) / VLOOKUP("electricity|SO2|Asthma symptoms wheeze", US_national_yearly!$D:$AM, 10, FALSE), 1)</f>
        <v>3.2983793676672726E-4</v>
      </c>
      <c r="L8" s="7">
        <f>$B8 * IFERROR(VLOOKUP("electricity|SO2|Asthma symptoms wheeze", US_national_yearly!$D:$AM, 20, FALSE) / VLOOKUP("electricity|SO2|Asthma symptoms wheeze", US_national_yearly!$D:$AM, 10, FALSE), 1)</f>
        <v>3.2983793676672726E-4</v>
      </c>
      <c r="M8" s="7">
        <f>$B8 * IFERROR(VLOOKUP("electricity|SO2|Asthma symptoms wheeze", US_national_yearly!$D:$AM, 21, FALSE) / VLOOKUP("electricity|SO2|Asthma symptoms wheeze", US_national_yearly!$D:$AM, 10, FALSE), 1)</f>
        <v>3.2983793676672726E-4</v>
      </c>
      <c r="N8" s="7">
        <f>$B8 * IFERROR(VLOOKUP("electricity|SO2|Asthma symptoms wheeze", US_national_yearly!$D:$AM, 22, FALSE) / VLOOKUP("electricity|SO2|Asthma symptoms wheeze", US_national_yearly!$D:$AM, 10, FALSE), 1)</f>
        <v>3.2983793676672726E-4</v>
      </c>
      <c r="O8" s="7">
        <f>$B8 * IFERROR(VLOOKUP("electricity|SO2|Asthma symptoms wheeze", US_national_yearly!$D:$AM, 23, FALSE) / VLOOKUP("electricity|SO2|Asthma symptoms wheeze", US_national_yearly!$D:$AM, 10, FALSE), 1)</f>
        <v>3.2983793676672726E-4</v>
      </c>
      <c r="P8" s="7">
        <f>$B8 * IFERROR(VLOOKUP("electricity|SO2|Asthma symptoms wheeze", US_national_yearly!$D:$AM, 24, FALSE) / VLOOKUP("electricity|SO2|Asthma symptoms wheeze", US_national_yearly!$D:$AM, 10, FALSE), 1)</f>
        <v>3.2983793676672726E-4</v>
      </c>
      <c r="Q8" s="7">
        <f>$B8 * IFERROR(VLOOKUP("electricity|SO2|Asthma symptoms wheeze", US_national_yearly!$D:$AM, 25, FALSE) / VLOOKUP("electricity|SO2|Asthma symptoms wheeze", US_national_yearly!$D:$AM, 10, FALSE), 1)</f>
        <v>3.2983793676672726E-4</v>
      </c>
      <c r="R8" s="7">
        <f>$B8 * IFERROR(VLOOKUP("electricity|SO2|Asthma symptoms wheeze", US_national_yearly!$D:$AM, 26, FALSE) / VLOOKUP("electricity|SO2|Asthma symptoms wheeze", US_national_yearly!$D:$AM, 10, FALSE), 1)</f>
        <v>3.2983793676672726E-4</v>
      </c>
      <c r="S8" s="7">
        <f>$B8 * IFERROR(VLOOKUP("electricity|SO2|Asthma symptoms wheeze", US_national_yearly!$D:$AM, 27, FALSE) / VLOOKUP("electricity|SO2|Asthma symptoms wheeze", US_national_yearly!$D:$AM, 10, FALSE), 1)</f>
        <v>3.2983793676672726E-4</v>
      </c>
      <c r="T8" s="7">
        <f>$B8 * IFERROR(VLOOKUP("electricity|SO2|Asthma symptoms wheeze", US_national_yearly!$D:$AM, 28, FALSE) / VLOOKUP("electricity|SO2|Asthma symptoms wheeze", US_national_yearly!$D:$AM, 10, FALSE), 1)</f>
        <v>3.2983793676672726E-4</v>
      </c>
      <c r="U8" s="7">
        <f>$B8 * IFERROR(VLOOKUP("electricity|SO2|Asthma symptoms wheeze", US_national_yearly!$D:$AM, 29, FALSE) / VLOOKUP("electricity|SO2|Asthma symptoms wheeze", US_national_yearly!$D:$AM, 10, FALSE), 1)</f>
        <v>3.2983793676672726E-4</v>
      </c>
      <c r="V8" s="7">
        <f>$B8 * IFERROR(VLOOKUP("electricity|SO2|Asthma symptoms wheeze", US_national_yearly!$D:$AM, 30, FALSE) / VLOOKUP("electricity|SO2|Asthma symptoms wheeze", US_national_yearly!$D:$AM, 10, FALSE), 1)</f>
        <v>3.2983793676672726E-4</v>
      </c>
      <c r="W8" s="7">
        <f>$B8 * IFERROR(VLOOKUP("electricity|SO2|Asthma symptoms wheeze", US_national_yearly!$D:$AM, 31, FALSE) / VLOOKUP("electricity|SO2|Asthma symptoms wheeze", US_national_yearly!$D:$AM, 10, FALSE), 1)</f>
        <v>3.2983793676672726E-4</v>
      </c>
      <c r="X8" s="7">
        <f>$B8 * IFERROR(VLOOKUP("electricity|SO2|Asthma symptoms wheeze", US_national_yearly!$D:$AM, 32, FALSE) / VLOOKUP("electricity|SO2|Asthma symptoms wheeze", US_national_yearly!$D:$AM, 10, FALSE), 1)</f>
        <v>3.2983793676672726E-4</v>
      </c>
      <c r="Y8" s="7">
        <f>$B8 * IFERROR(VLOOKUP("electricity|SO2|Asthma symptoms wheeze", US_national_yearly!$D:$AM, 33, FALSE) / VLOOKUP("electricity|SO2|Asthma symptoms wheeze", US_national_yearly!$D:$AM, 10, FALSE), 1)</f>
        <v>3.2983793676672726E-4</v>
      </c>
      <c r="Z8" s="7">
        <f>$B8 * IFERROR(VLOOKUP("electricity|SO2|Asthma symptoms wheeze", US_national_yearly!$D:$AM, 34, FALSE) / VLOOKUP("electricity|SO2|Asthma symptoms wheeze", US_national_yearly!$D:$AM, 10, FALSE), 1)</f>
        <v>3.2983793676672726E-4</v>
      </c>
      <c r="AA8" s="7">
        <f>$B8 * IFERROR(VLOOKUP("electricity|SO2|Asthma symptoms wheeze", US_national_yearly!$D:$AM, 35, FALSE) / VLOOKUP("electricity|SO2|Asthma symptoms wheeze", US_national_yearly!$D:$AM, 10, FALSE), 1)</f>
        <v>3.2983793676672726E-4</v>
      </c>
      <c r="AB8" s="7">
        <f>$B8 * IFERROR(VLOOKUP("electricity|SO2|Asthma symptoms wheeze", US_national_yearly!$D:$AM, 36, FALSE) / VLOOKUP("electricity|SO2|Asthma symptoms wheeze", US_national_yearly!$D:$AM, 10, FALSE), 1)</f>
        <v>3.2983793676672726E-4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5.889908349571825E-6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5.9245977358875541E-6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5.959287122203284E-6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5.9939765085190131E-6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6.0286658948347439E-6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6.06646676519817E-6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6.104267635561597E-6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6.1406326252812439E-6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6.1769976150008917E-6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6.2133626047205396E-6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6.2497275944401865E-6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6.2860925841598343E-6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6.3121757513093205E-6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6.3382589184588075E-6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6.3643420856082928E-6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6.3904252527577781E-6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6.4165084199072651E-6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6.4411270902759022E-6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6.465745760644541E-6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6.490364431013179E-6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6.5149831013818169E-6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6.5396017717504557E-6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6.5632191254833754E-6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6.5868364792162976E-6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6.6104538329492197E-6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6.6340711866821385E-6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6.6576885404150607E-6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3.1929605883285111E-5</v>
      </c>
      <c r="C13" s="7">
        <f>$B13 * IFERROR(VLOOKUP("electricity|SO2|Non-fatal heart attacks", US_national_yearly!$D:$AM, 11, FALSE) / VLOOKUP("electricity|SO2|Non-fatal heart attacks", US_national_yearly!$D:$AM, 10, FALSE), 1)</f>
        <v>3.2870110609041066E-5</v>
      </c>
      <c r="D13" s="7">
        <f>$B13 * IFERROR(VLOOKUP("electricity|SO2|Non-fatal heart attacks", US_national_yearly!$D:$AM, 12, FALSE) / VLOOKUP("electricity|SO2|Non-fatal heart attacks", US_national_yearly!$D:$AM, 10, FALSE), 1)</f>
        <v>3.3810615334797002E-5</v>
      </c>
      <c r="E13" s="7">
        <f>$B13 * IFERROR(VLOOKUP("electricity|SO2|Non-fatal heart attacks", US_national_yearly!$D:$AM, 13, FALSE) / VLOOKUP("electricity|SO2|Non-fatal heart attacks", US_national_yearly!$D:$AM, 10, FALSE), 1)</f>
        <v>3.4751120060552957E-5</v>
      </c>
      <c r="F13" s="7">
        <f>$B13 * IFERROR(VLOOKUP("electricity|SO2|Non-fatal heart attacks", US_national_yearly!$D:$AM, 14, FALSE) / VLOOKUP("electricity|SO2|Non-fatal heart attacks", US_national_yearly!$D:$AM, 10, FALSE), 1)</f>
        <v>3.5691624786308906E-5</v>
      </c>
      <c r="G13" s="7">
        <f>$B13 * IFERROR(VLOOKUP("electricity|SO2|Non-fatal heart attacks", US_national_yearly!$D:$AM, 15, FALSE) / VLOOKUP("electricity|SO2|Non-fatal heart attacks", US_national_yearly!$D:$AM, 10, FALSE), 1)</f>
        <v>3.6584191989074474E-5</v>
      </c>
      <c r="H13" s="7">
        <f>$B13 * IFERROR(VLOOKUP("electricity|SO2|Non-fatal heart attacks", US_national_yearly!$D:$AM, 16, FALSE) / VLOOKUP("electricity|SO2|Non-fatal heart attacks", US_national_yearly!$D:$AM, 10, FALSE), 1)</f>
        <v>3.7476759191840055E-5</v>
      </c>
      <c r="I13" s="7">
        <f>$B13 * IFERROR(VLOOKUP("electricity|SO2|Non-fatal heart attacks", US_national_yearly!$D:$AM, 17, FALSE) / VLOOKUP("electricity|SO2|Non-fatal heart attacks", US_national_yearly!$D:$AM, 10, FALSE), 1)</f>
        <v>3.8203653013668726E-5</v>
      </c>
      <c r="J13" s="7">
        <f>$B13 * IFERROR(VLOOKUP("electricity|SO2|Non-fatal heart attacks", US_national_yearly!$D:$AM, 18, FALSE) / VLOOKUP("electricity|SO2|Non-fatal heart attacks", US_national_yearly!$D:$AM, 10, FALSE), 1)</f>
        <v>3.893054683549739E-5</v>
      </c>
      <c r="K13" s="7">
        <f>$B13 * IFERROR(VLOOKUP("electricity|SO2|Non-fatal heart attacks", US_national_yearly!$D:$AM, 19, FALSE) / VLOOKUP("electricity|SO2|Non-fatal heart attacks", US_national_yearly!$D:$AM, 10, FALSE), 1)</f>
        <v>3.9657440657326055E-5</v>
      </c>
      <c r="L13" s="7">
        <f>$B13 * IFERROR(VLOOKUP("electricity|SO2|Non-fatal heart attacks", US_national_yearly!$D:$AM, 20, FALSE) / VLOOKUP("electricity|SO2|Non-fatal heart attacks", US_national_yearly!$D:$AM, 10, FALSE), 1)</f>
        <v>4.0384334479154719E-5</v>
      </c>
      <c r="M13" s="7">
        <f>$B13 * IFERROR(VLOOKUP("electricity|SO2|Non-fatal heart attacks", US_national_yearly!$D:$AM, 21, FALSE) / VLOOKUP("electricity|SO2|Non-fatal heart attacks", US_national_yearly!$D:$AM, 10, FALSE), 1)</f>
        <v>4.111122830098339E-5</v>
      </c>
      <c r="N13" s="7">
        <f>$B13 * IFERROR(VLOOKUP("electricity|SO2|Non-fatal heart attacks", US_national_yearly!$D:$AM, 22, FALSE) / VLOOKUP("electricity|SO2|Non-fatal heart attacks", US_national_yearly!$D:$AM, 10, FALSE), 1)</f>
        <v>4.1590580555447493E-5</v>
      </c>
      <c r="O13" s="7">
        <f>$B13 * IFERROR(VLOOKUP("electricity|SO2|Non-fatal heart attacks", US_national_yearly!$D:$AM, 23, FALSE) / VLOOKUP("electricity|SO2|Non-fatal heart attacks", US_national_yearly!$D:$AM, 10, FALSE), 1)</f>
        <v>4.2069932809911596E-5</v>
      </c>
      <c r="P13" s="7">
        <f>$B13 * IFERROR(VLOOKUP("electricity|SO2|Non-fatal heart attacks", US_national_yearly!$D:$AM, 24, FALSE) / VLOOKUP("electricity|SO2|Non-fatal heart attacks", US_national_yearly!$D:$AM, 10, FALSE), 1)</f>
        <v>4.2549285064375705E-5</v>
      </c>
      <c r="Q13" s="7">
        <f>$B13 * IFERROR(VLOOKUP("electricity|SO2|Non-fatal heart attacks", US_national_yearly!$D:$AM, 25, FALSE) / VLOOKUP("electricity|SO2|Non-fatal heart attacks", US_national_yearly!$D:$AM, 10, FALSE), 1)</f>
        <v>4.3028637318839808E-5</v>
      </c>
      <c r="R13" s="7">
        <f>$B13 * IFERROR(VLOOKUP("electricity|SO2|Non-fatal heart attacks", US_national_yearly!$D:$AM, 26, FALSE) / VLOOKUP("electricity|SO2|Non-fatal heart attacks", US_national_yearly!$D:$AM, 10, FALSE), 1)</f>
        <v>4.3507989573303917E-5</v>
      </c>
      <c r="S13" s="7">
        <f>$B13 * IFERROR(VLOOKUP("electricity|SO2|Non-fatal heart attacks", US_national_yearly!$D:$AM, 27, FALSE) / VLOOKUP("electricity|SO2|Non-fatal heart attacks", US_national_yearly!$D:$AM, 10, FALSE), 1)</f>
        <v>4.3768841663025664E-5</v>
      </c>
      <c r="T13" s="7">
        <f>$B13 * IFERROR(VLOOKUP("electricity|SO2|Non-fatal heart attacks", US_national_yearly!$D:$AM, 28, FALSE) / VLOOKUP("electricity|SO2|Non-fatal heart attacks", US_national_yearly!$D:$AM, 10, FALSE), 1)</f>
        <v>4.402969375274741E-5</v>
      </c>
      <c r="U13" s="7">
        <f>$B13 * IFERROR(VLOOKUP("electricity|SO2|Non-fatal heart attacks", US_national_yearly!$D:$AM, 29, FALSE) / VLOOKUP("electricity|SO2|Non-fatal heart attacks", US_national_yearly!$D:$AM, 10, FALSE), 1)</f>
        <v>4.4290545842469163E-5</v>
      </c>
      <c r="V13" s="7">
        <f>$B13 * IFERROR(VLOOKUP("electricity|SO2|Non-fatal heart attacks", US_national_yearly!$D:$AM, 30, FALSE) / VLOOKUP("electricity|SO2|Non-fatal heart attacks", US_national_yearly!$D:$AM, 10, FALSE), 1)</f>
        <v>4.4551397932190902E-5</v>
      </c>
      <c r="W13" s="7">
        <f>$B13 * IFERROR(VLOOKUP("electricity|SO2|Non-fatal heart attacks", US_national_yearly!$D:$AM, 31, FALSE) / VLOOKUP("electricity|SO2|Non-fatal heart attacks", US_national_yearly!$D:$AM, 10, FALSE), 1)</f>
        <v>4.4812250021912649E-5</v>
      </c>
      <c r="X13" s="7">
        <f>$B13 * IFERROR(VLOOKUP("electricity|SO2|Non-fatal heart attacks", US_national_yearly!$D:$AM, 32, FALSE) / VLOOKUP("electricity|SO2|Non-fatal heart attacks", US_national_yearly!$D:$AM, 10, FALSE), 1)</f>
        <v>4.5012627975010841E-5</v>
      </c>
      <c r="Y13" s="7">
        <f>$B13 * IFERROR(VLOOKUP("electricity|SO2|Non-fatal heart attacks", US_national_yearly!$D:$AM, 33, FALSE) / VLOOKUP("electricity|SO2|Non-fatal heart attacks", US_national_yearly!$D:$AM, 10, FALSE), 1)</f>
        <v>4.5213005928109033E-5</v>
      </c>
      <c r="Z13" s="7">
        <f>$B13 * IFERROR(VLOOKUP("electricity|SO2|Non-fatal heart attacks", US_national_yearly!$D:$AM, 34, FALSE) / VLOOKUP("electricity|SO2|Non-fatal heart attacks", US_national_yearly!$D:$AM, 10, FALSE), 1)</f>
        <v>4.5413383881207218E-5</v>
      </c>
      <c r="AA13" s="7">
        <f>$B13 * IFERROR(VLOOKUP("electricity|SO2|Non-fatal heart attacks", US_national_yearly!$D:$AM, 35, FALSE) / VLOOKUP("electricity|SO2|Non-fatal heart attacks", US_national_yearly!$D:$AM, 10, FALSE), 1)</f>
        <v>4.5613761834305403E-5</v>
      </c>
      <c r="AB13" s="7">
        <f>$B13 * IFERROR(VLOOKUP("electricity|SO2|Non-fatal heart attacks", US_national_yearly!$D:$AM, 36, FALSE) / VLOOKUP("electricity|SO2|Non-fatal heart attacks", US_national_yearly!$D:$AM, 10, FALSE), 1)</f>
        <v>4.5814139787403595E-5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1.9480860170439315E-2</v>
      </c>
      <c r="C14" s="7">
        <f>$B14 * IFERROR(VLOOKUP("electricity|SO2|Minor restricted activity days", US_national_yearly!$D:$AM, 11, FALSE) / VLOOKUP("electricity|SO2|Minor restricted activity days", US_national_yearly!$D:$AM, 10, FALSE), 1)</f>
        <v>1.952981464013271E-2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1.9578769109826109E-2</v>
      </c>
      <c r="E14" s="7">
        <f>$B14 * IFERROR(VLOOKUP("electricity|SO2|Minor restricted activity days", US_national_yearly!$D:$AM, 13, FALSE) / VLOOKUP("electricity|SO2|Minor restricted activity days", US_national_yearly!$D:$AM, 10, FALSE), 1)</f>
        <v>1.9627723579519512E-2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1.9676678049212904E-2</v>
      </c>
      <c r="G14" s="7">
        <f>$B14 * IFERROR(VLOOKUP("electricity|SO2|Minor restricted activity days", US_national_yearly!$D:$AM, 15, FALSE) / VLOOKUP("electricity|SO2|Minor restricted activity days", US_national_yearly!$D:$AM, 10, FALSE), 1)</f>
        <v>1.9747406674283367E-2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1.9818135299353831E-2</v>
      </c>
      <c r="I14" s="7">
        <f>$B14 * IFERROR(VLOOKUP("electricity|SO2|Minor restricted activity days", US_national_yearly!$D:$AM, 17, FALSE) / VLOOKUP("electricity|SO2|Minor restricted activity days", US_national_yearly!$D:$AM, 10, FALSE), 1)</f>
        <v>1.9939440336830382E-2</v>
      </c>
      <c r="J14" s="7">
        <f>$B14 * IFERROR(VLOOKUP("electricity|SO2|Minor restricted activity days", US_national_yearly!$D:$AM, 18, FALSE) / VLOOKUP("electricity|SO2|Minor restricted activity days", US_national_yearly!$D:$AM, 10, FALSE), 1)</f>
        <v>2.0060745374306937E-2</v>
      </c>
      <c r="K14" s="7">
        <f>$B14 * IFERROR(VLOOKUP("electricity|SO2|Minor restricted activity days", US_national_yearly!$D:$AM, 19, FALSE) / VLOOKUP("electricity|SO2|Minor restricted activity days", US_national_yearly!$D:$AM, 10, FALSE), 1)</f>
        <v>2.0182050411783486E-2</v>
      </c>
      <c r="L14" s="7">
        <f>$B14 * IFERROR(VLOOKUP("electricity|SO2|Minor restricted activity days", US_national_yearly!$D:$AM, 20, FALSE) / VLOOKUP("electricity|SO2|Minor restricted activity days", US_national_yearly!$D:$AM, 10, FALSE), 1)</f>
        <v>2.0303355449260048E-2</v>
      </c>
      <c r="M14" s="7">
        <f>$B14 * IFERROR(VLOOKUP("electricity|SO2|Minor restricted activity days", US_national_yearly!$D:$AM, 21, FALSE) / VLOOKUP("electricity|SO2|Minor restricted activity days", US_national_yearly!$D:$AM, 10, FALSE), 1)</f>
        <v>2.04246604867366E-2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2.0591715045544391E-2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2.0758769604352183E-2</v>
      </c>
      <c r="P14" s="7">
        <f>$B14 * IFERROR(VLOOKUP("electricity|SO2|Minor restricted activity days", US_national_yearly!$D:$AM, 24, FALSE) / VLOOKUP("electricity|SO2|Minor restricted activity days", US_national_yearly!$D:$AM, 10, FALSE), 1)</f>
        <v>2.0925824163159971E-2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2.1092878721967766E-2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2.1259933280775554E-2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2.1431190541141759E-2</v>
      </c>
      <c r="T14" s="7">
        <f>$B14 * IFERROR(VLOOKUP("electricity|SO2|Minor restricted activity days", US_national_yearly!$D:$AM, 28, FALSE) / VLOOKUP("electricity|SO2|Minor restricted activity days", US_national_yearly!$D:$AM, 10, FALSE), 1)</f>
        <v>2.1602447801507968E-2</v>
      </c>
      <c r="U14" s="7">
        <f>$B14 * IFERROR(VLOOKUP("electricity|SO2|Minor restricted activity days", US_national_yearly!$D:$AM, 29, FALSE) / VLOOKUP("electricity|SO2|Minor restricted activity days", US_national_yearly!$D:$AM, 10, FALSE), 1)</f>
        <v>2.177370506187417E-2</v>
      </c>
      <c r="V14" s="7">
        <f>$B14 * IFERROR(VLOOKUP("electricity|SO2|Minor restricted activity days", US_national_yearly!$D:$AM, 30, FALSE) / VLOOKUP("electricity|SO2|Minor restricted activity days", US_national_yearly!$D:$AM, 10, FALSE), 1)</f>
        <v>2.1944962322240375E-2</v>
      </c>
      <c r="W14" s="7">
        <f>$B14 * IFERROR(VLOOKUP("electricity|SO2|Minor restricted activity days", US_national_yearly!$D:$AM, 31, FALSE) / VLOOKUP("electricity|SO2|Minor restricted activity days", US_national_yearly!$D:$AM, 10, FALSE), 1)</f>
        <v>2.2116219582606584E-2</v>
      </c>
      <c r="X14" s="7">
        <f>$B14 * IFERROR(VLOOKUP("electricity|SO2|Minor restricted activity days", US_national_yearly!$D:$AM, 32, FALSE) / VLOOKUP("electricity|SO2|Minor restricted activity days", US_national_yearly!$D:$AM, 10, FALSE), 1)</f>
        <v>2.2266907202371383E-2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2.2417594822136181E-2</v>
      </c>
      <c r="Z14" s="7">
        <f>$B14 * IFERROR(VLOOKUP("electricity|SO2|Minor restricted activity days", US_national_yearly!$D:$AM, 34, FALSE) / VLOOKUP("electricity|SO2|Minor restricted activity days", US_national_yearly!$D:$AM, 10, FALSE), 1)</f>
        <v>2.2568282441900976E-2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2.2718970061665778E-2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2.2869657681430577E-2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3.2909284187998379E-3</v>
      </c>
      <c r="C15" s="7">
        <f>$B15 * IFERROR(VLOOKUP("electricity|SO2|Work loss days", US_national_yearly!$D:$AM, 11, FALSE) / VLOOKUP("electricity|SO2|Work loss days", US_national_yearly!$D:$AM, 10, FALSE), 1)</f>
        <v>3.3015845445480262E-3</v>
      </c>
      <c r="D15" s="7">
        <f>$B15 * IFERROR(VLOOKUP("electricity|SO2|Work loss days", US_national_yearly!$D:$AM, 12, FALSE) / VLOOKUP("electricity|SO2|Work loss days", US_national_yearly!$D:$AM, 10, FALSE), 1)</f>
        <v>3.3122406702962145E-3</v>
      </c>
      <c r="E15" s="7">
        <f>$B15 * IFERROR(VLOOKUP("electricity|SO2|Work loss days", US_national_yearly!$D:$AM, 13, FALSE) / VLOOKUP("electricity|SO2|Work loss days", US_national_yearly!$D:$AM, 10, FALSE), 1)</f>
        <v>3.3228967960444032E-3</v>
      </c>
      <c r="F15" s="7">
        <f>$B15 * IFERROR(VLOOKUP("electricity|SO2|Work loss days", US_national_yearly!$D:$AM, 14, FALSE) / VLOOKUP("electricity|SO2|Work loss days", US_national_yearly!$D:$AM, 10, FALSE), 1)</f>
        <v>3.3335529217925915E-3</v>
      </c>
      <c r="G15" s="7">
        <f>$B15 * IFERROR(VLOOKUP("electricity|SO2|Work loss days", US_national_yearly!$D:$AM, 15, FALSE) / VLOOKUP("electricity|SO2|Work loss days", US_national_yearly!$D:$AM, 10, FALSE), 1)</f>
        <v>3.3472040791716474E-3</v>
      </c>
      <c r="H15" s="7">
        <f>$B15 * IFERROR(VLOOKUP("electricity|SO2|Work loss days", US_national_yearly!$D:$AM, 16, FALSE) / VLOOKUP("electricity|SO2|Work loss days", US_national_yearly!$D:$AM, 10, FALSE), 1)</f>
        <v>3.3608552365507033E-3</v>
      </c>
      <c r="I15" s="7">
        <f>$B15 * IFERROR(VLOOKUP("electricity|SO2|Work loss days", US_national_yearly!$D:$AM, 17, FALSE) / VLOOKUP("electricity|SO2|Work loss days", US_national_yearly!$D:$AM, 10, FALSE), 1)</f>
        <v>3.380828485569057E-3</v>
      </c>
      <c r="J15" s="7">
        <f>$B15 * IFERROR(VLOOKUP("electricity|SO2|Work loss days", US_national_yearly!$D:$AM, 18, FALSE) / VLOOKUP("electricity|SO2|Work loss days", US_national_yearly!$D:$AM, 10, FALSE), 1)</f>
        <v>3.4008017345874102E-3</v>
      </c>
      <c r="K15" s="7">
        <f>$B15 * IFERROR(VLOOKUP("electricity|SO2|Work loss days", US_national_yearly!$D:$AM, 19, FALSE) / VLOOKUP("electricity|SO2|Work loss days", US_national_yearly!$D:$AM, 10, FALSE), 1)</f>
        <v>3.4207749836057642E-3</v>
      </c>
      <c r="L15" s="7">
        <f>$B15 * IFERROR(VLOOKUP("electricity|SO2|Work loss days", US_national_yearly!$D:$AM, 20, FALSE) / VLOOKUP("electricity|SO2|Work loss days", US_national_yearly!$D:$AM, 10, FALSE), 1)</f>
        <v>3.4407482326241174E-3</v>
      </c>
      <c r="M15" s="7">
        <f>$B15 * IFERROR(VLOOKUP("electricity|SO2|Work loss days", US_national_yearly!$D:$AM, 21, FALSE) / VLOOKUP("electricity|SO2|Work loss days", US_national_yearly!$D:$AM, 10, FALSE), 1)</f>
        <v>3.4607214816424719E-3</v>
      </c>
      <c r="N15" s="7">
        <f>$B15 * IFERROR(VLOOKUP("electricity|SO2|Work loss days", US_national_yearly!$D:$AM, 22, FALSE) / VLOOKUP("electricity|SO2|Work loss days", US_national_yearly!$D:$AM, 10, FALSE), 1)</f>
        <v>3.4859926088826932E-3</v>
      </c>
      <c r="O15" s="7">
        <f>$B15 * IFERROR(VLOOKUP("electricity|SO2|Work loss days", US_national_yearly!$D:$AM, 23, FALSE) / VLOOKUP("electricity|SO2|Work loss days", US_national_yearly!$D:$AM, 10, FALSE), 1)</f>
        <v>3.5112637361229154E-3</v>
      </c>
      <c r="P15" s="7">
        <f>$B15 * IFERROR(VLOOKUP("electricity|SO2|Work loss days", US_national_yearly!$D:$AM, 24, FALSE) / VLOOKUP("electricity|SO2|Work loss days", US_national_yearly!$D:$AM, 10, FALSE), 1)</f>
        <v>3.5365348633631375E-3</v>
      </c>
      <c r="Q15" s="7">
        <f>$B15 * IFERROR(VLOOKUP("electricity|SO2|Work loss days", US_national_yearly!$D:$AM, 25, FALSE) / VLOOKUP("electricity|SO2|Work loss days", US_national_yearly!$D:$AM, 10, FALSE), 1)</f>
        <v>3.5618059906033588E-3</v>
      </c>
      <c r="R15" s="7">
        <f>$B15 * IFERROR(VLOOKUP("electricity|SO2|Work loss days", US_national_yearly!$D:$AM, 26, FALSE) / VLOOKUP("electricity|SO2|Work loss days", US_national_yearly!$D:$AM, 10, FALSE), 1)</f>
        <v>3.587077117843581E-3</v>
      </c>
      <c r="S15" s="7">
        <f>$B15 * IFERROR(VLOOKUP("electricity|SO2|Work loss days", US_national_yearly!$D:$AM, 27, FALSE) / VLOOKUP("electricity|SO2|Work loss days", US_national_yearly!$D:$AM, 10, FALSE), 1)</f>
        <v>3.61540840970725E-3</v>
      </c>
      <c r="T15" s="7">
        <f>$B15 * IFERROR(VLOOKUP("electricity|SO2|Work loss days", US_national_yearly!$D:$AM, 28, FALSE) / VLOOKUP("electricity|SO2|Work loss days", US_national_yearly!$D:$AM, 10, FALSE), 1)</f>
        <v>3.6437397015709199E-3</v>
      </c>
      <c r="U15" s="7">
        <f>$B15 * IFERROR(VLOOKUP("electricity|SO2|Work loss days", US_national_yearly!$D:$AM, 29, FALSE) / VLOOKUP("electricity|SO2|Work loss days", US_national_yearly!$D:$AM, 10, FALSE), 1)</f>
        <v>3.6720709934345893E-3</v>
      </c>
      <c r="V15" s="7">
        <f>$B15 * IFERROR(VLOOKUP("electricity|SO2|Work loss days", US_national_yearly!$D:$AM, 30, FALSE) / VLOOKUP("electricity|SO2|Work loss days", US_national_yearly!$D:$AM, 10, FALSE), 1)</f>
        <v>3.7004022852982592E-3</v>
      </c>
      <c r="W15" s="7">
        <f>$B15 * IFERROR(VLOOKUP("electricity|SO2|Work loss days", US_national_yearly!$D:$AM, 31, FALSE) / VLOOKUP("electricity|SO2|Work loss days", US_national_yearly!$D:$AM, 10, FALSE), 1)</f>
        <v>3.7287335771619286E-3</v>
      </c>
      <c r="X15" s="7">
        <f>$B15 * IFERROR(VLOOKUP("electricity|SO2|Work loss days", US_national_yearly!$D:$AM, 32, FALSE) / VLOOKUP("electricity|SO2|Work loss days", US_national_yearly!$D:$AM, 10, FALSE), 1)</f>
        <v>3.7542572689999209E-3</v>
      </c>
      <c r="Y15" s="7">
        <f>$B15 * IFERROR(VLOOKUP("electricity|SO2|Work loss days", US_national_yearly!$D:$AM, 33, FALSE) / VLOOKUP("electricity|SO2|Work loss days", US_national_yearly!$D:$AM, 10, FALSE), 1)</f>
        <v>3.7797809608379131E-3</v>
      </c>
      <c r="Z15" s="7">
        <f>$B15 * IFERROR(VLOOKUP("electricity|SO2|Work loss days", US_national_yearly!$D:$AM, 34, FALSE) / VLOOKUP("electricity|SO2|Work loss days", US_national_yearly!$D:$AM, 10, FALSE), 1)</f>
        <v>3.8053046526759049E-3</v>
      </c>
      <c r="AA15" s="7">
        <f>$B15 * IFERROR(VLOOKUP("electricity|SO2|Work loss days", US_national_yearly!$D:$AM, 35, FALSE) / VLOOKUP("electricity|SO2|Work loss days", US_national_yearly!$D:$AM, 10, FALSE), 1)</f>
        <v>3.8308283445138971E-3</v>
      </c>
      <c r="AB15" s="7">
        <f>$B15 * IFERROR(VLOOKUP("electricity|SO2|Work loss days", US_national_yearly!$D:$AM, 36, FALSE) / VLOOKUP("electricity|SO2|Work loss days", US_national_yearly!$D:$AM, 10, FALSE), 1)</f>
        <v>3.8563520363518893E-3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8.0236307012648308E-6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8.266769015778337E-6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8.5099073302918432E-6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8.7530456448053512E-6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8.9961839593188574E-6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9.2305538013596881E-6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9.4649236434005222E-6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9.6678271170071896E-6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9.8707305906138571E-6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1.0073634064220524E-5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1.027653753782719E-5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1.0479441011433858E-5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1.0617922091206135E-5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1.0756403170978409E-5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1.089488425075069E-5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1.1033365330522965E-5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1.1171846410295243E-5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1.124776427511223E-5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1.1323682139929215E-5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1.13996000047462E-5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1.1475517869563185E-5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1.1551435734380171E-5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1.1603840911860411E-5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1.1656246089340649E-5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1.1708651266820889E-5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1.1761056444301127E-5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1.1813461621781367E-5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1.9147524371595344E-2</v>
      </c>
      <c r="C2" s="7">
        <f>$B2 * IFERROR(VLOOKUP("buildings|PM25|Premature mortality", US_national_yearly!$D:$AM, 11, FALSE) / VLOOKUP("buildings|PM25|Premature mortality", US_national_yearly!$D:$AM, 10, FALSE), 1)</f>
        <v>1.9385083655154529E-2</v>
      </c>
      <c r="D2" s="7">
        <f>$B2 * IFERROR(VLOOKUP("buildings|PM25|Premature mortality", US_national_yearly!$D:$AM, 12, FALSE) / VLOOKUP("buildings|PM25|Premature mortality", US_national_yearly!$D:$AM, 10, FALSE), 1)</f>
        <v>1.9622642938713714E-2</v>
      </c>
      <c r="E2" s="7">
        <f>$B2 * IFERROR(VLOOKUP("buildings|PM25|Premature mortality", US_national_yearly!$D:$AM, 13, FALSE) / VLOOKUP("buildings|PM25|Premature mortality", US_national_yearly!$D:$AM, 10, FALSE), 1)</f>
        <v>1.9860202222272902E-2</v>
      </c>
      <c r="F2" s="7">
        <f>$B2 * IFERROR(VLOOKUP("buildings|PM25|Premature mortality", US_national_yearly!$D:$AM, 14, FALSE) / VLOOKUP("buildings|PM25|Premature mortality", US_national_yearly!$D:$AM, 10, FALSE), 1)</f>
        <v>2.0097761505832087E-2</v>
      </c>
      <c r="G2" s="7">
        <f>$B2 * IFERROR(VLOOKUP("buildings|PM25|Premature mortality", US_national_yearly!$D:$AM, 15, FALSE) / VLOOKUP("buildings|PM25|Premature mortality", US_national_yearly!$D:$AM, 10, FALSE), 1)</f>
        <v>2.0560338147459927E-2</v>
      </c>
      <c r="H2" s="7">
        <f>$B2 * IFERROR(VLOOKUP("buildings|PM25|Premature mortality", US_national_yearly!$D:$AM, 16, FALSE) / VLOOKUP("buildings|PM25|Premature mortality", US_national_yearly!$D:$AM, 10, FALSE), 1)</f>
        <v>2.1022914789087764E-2</v>
      </c>
      <c r="I2" s="7">
        <f>$B2 * IFERROR(VLOOKUP("buildings|PM25|Premature mortality", US_national_yearly!$D:$AM, 17, FALSE) / VLOOKUP("buildings|PM25|Premature mortality", US_national_yearly!$D:$AM, 10, FALSE), 1)</f>
        <v>2.132714347884988E-2</v>
      </c>
      <c r="J2" s="7">
        <f>$B2 * IFERROR(VLOOKUP("buildings|PM25|Premature mortality", US_national_yearly!$D:$AM, 18, FALSE) / VLOOKUP("buildings|PM25|Premature mortality", US_national_yearly!$D:$AM, 10, FALSE), 1)</f>
        <v>2.1631372168611995E-2</v>
      </c>
      <c r="K2" s="7">
        <f>$B2 * IFERROR(VLOOKUP("buildings|PM25|Premature mortality", US_national_yearly!$D:$AM, 19, FALSE) / VLOOKUP("buildings|PM25|Premature mortality", US_national_yearly!$D:$AM, 10, FALSE), 1)</f>
        <v>2.1935600858374111E-2</v>
      </c>
      <c r="L2" s="7">
        <f>$B2 * IFERROR(VLOOKUP("buildings|PM25|Premature mortality", US_national_yearly!$D:$AM, 20, FALSE) / VLOOKUP("buildings|PM25|Premature mortality", US_national_yearly!$D:$AM, 10, FALSE), 1)</f>
        <v>2.2239829548136227E-2</v>
      </c>
      <c r="M2" s="7">
        <f>$B2 * IFERROR(VLOOKUP("buildings|PM25|Premature mortality", US_national_yearly!$D:$AM, 21, FALSE) / VLOOKUP("buildings|PM25|Premature mortality", US_national_yearly!$D:$AM, 10, FALSE), 1)</f>
        <v>2.2544058237898342E-2</v>
      </c>
      <c r="N2" s="7">
        <f>$B2 * IFERROR(VLOOKUP("buildings|PM25|Premature mortality", US_national_yearly!$D:$AM, 22, FALSE) / VLOOKUP("buildings|PM25|Premature mortality", US_national_yearly!$D:$AM, 10, FALSE), 1)</f>
        <v>2.2780629856716285E-2</v>
      </c>
      <c r="O2" s="7">
        <f>$B2 * IFERROR(VLOOKUP("buildings|PM25|Premature mortality", US_national_yearly!$D:$AM, 23, FALSE) / VLOOKUP("buildings|PM25|Premature mortality", US_national_yearly!$D:$AM, 10, FALSE), 1)</f>
        <v>2.3017201475534231E-2</v>
      </c>
      <c r="P2" s="7">
        <f>$B2 * IFERROR(VLOOKUP("buildings|PM25|Premature mortality", US_national_yearly!$D:$AM, 24, FALSE) / VLOOKUP("buildings|PM25|Premature mortality", US_national_yearly!$D:$AM, 10, FALSE), 1)</f>
        <v>2.3253773094352174E-2</v>
      </c>
      <c r="Q2" s="7">
        <f>$B2 * IFERROR(VLOOKUP("buildings|PM25|Premature mortality", US_national_yearly!$D:$AM, 25, FALSE) / VLOOKUP("buildings|PM25|Premature mortality", US_national_yearly!$D:$AM, 10, FALSE), 1)</f>
        <v>2.3490344713170123E-2</v>
      </c>
      <c r="R2" s="7">
        <f>$B2 * IFERROR(VLOOKUP("buildings|PM25|Premature mortality", US_national_yearly!$D:$AM, 26, FALSE) / VLOOKUP("buildings|PM25|Premature mortality", US_national_yearly!$D:$AM, 10, FALSE), 1)</f>
        <v>2.3726916331988066E-2</v>
      </c>
      <c r="S2" s="7">
        <f>$B2 * IFERROR(VLOOKUP("buildings|PM25|Premature mortality", US_national_yearly!$D:$AM, 27, FALSE) / VLOOKUP("buildings|PM25|Premature mortality", US_national_yearly!$D:$AM, 10, FALSE), 1)</f>
        <v>2.3852656497226774E-2</v>
      </c>
      <c r="T2" s="7">
        <f>$B2 * IFERROR(VLOOKUP("buildings|PM25|Premature mortality", US_national_yearly!$D:$AM, 28, FALSE) / VLOOKUP("buildings|PM25|Premature mortality", US_national_yearly!$D:$AM, 10, FALSE), 1)</f>
        <v>2.3978396662465488E-2</v>
      </c>
      <c r="U2" s="7">
        <f>$B2 * IFERROR(VLOOKUP("buildings|PM25|Premature mortality", US_national_yearly!$D:$AM, 29, FALSE) / VLOOKUP("buildings|PM25|Premature mortality", US_national_yearly!$D:$AM, 10, FALSE), 1)</f>
        <v>2.4104136827704199E-2</v>
      </c>
      <c r="V2" s="7">
        <f>$B2 * IFERROR(VLOOKUP("buildings|PM25|Premature mortality", US_national_yearly!$D:$AM, 30, FALSE) / VLOOKUP("buildings|PM25|Premature mortality", US_national_yearly!$D:$AM, 10, FALSE), 1)</f>
        <v>2.4229876992942909E-2</v>
      </c>
      <c r="W2" s="7">
        <f>$B2 * IFERROR(VLOOKUP("buildings|PM25|Premature mortality", US_national_yearly!$D:$AM, 31, FALSE) / VLOOKUP("buildings|PM25|Premature mortality", US_national_yearly!$D:$AM, 10, FALSE), 1)</f>
        <v>2.435561715818162E-2</v>
      </c>
      <c r="X2" s="7">
        <f>$B2 * IFERROR(VLOOKUP("buildings|PM25|Premature mortality", US_national_yearly!$D:$AM, 32, FALSE) / VLOOKUP("buildings|PM25|Premature mortality", US_national_yearly!$D:$AM, 10, FALSE), 1)</f>
        <v>2.4378186508379137E-2</v>
      </c>
      <c r="Y2" s="7">
        <f>$B2 * IFERROR(VLOOKUP("buildings|PM25|Premature mortality", US_national_yearly!$D:$AM, 33, FALSE) / VLOOKUP("buildings|PM25|Premature mortality", US_national_yearly!$D:$AM, 10, FALSE), 1)</f>
        <v>2.440075585857665E-2</v>
      </c>
      <c r="Z2" s="7">
        <f>$B2 * IFERROR(VLOOKUP("buildings|PM25|Premature mortality", US_national_yearly!$D:$AM, 34, FALSE) / VLOOKUP("buildings|PM25|Premature mortality", US_national_yearly!$D:$AM, 10, FALSE), 1)</f>
        <v>2.4423325208774167E-2</v>
      </c>
      <c r="AA2" s="7">
        <f>$B2 * IFERROR(VLOOKUP("buildings|PM25|Premature mortality", US_national_yearly!$D:$AM, 35, FALSE) / VLOOKUP("buildings|PM25|Premature mortality", US_national_yearly!$D:$AM, 10, FALSE), 1)</f>
        <v>2.4445894558971684E-2</v>
      </c>
      <c r="AB2" s="7">
        <f>$B2 * IFERROR(VLOOKUP("buildings|PM25|Premature mortality", US_national_yearly!$D:$AM, 36, FALSE) / VLOOKUP("buildings|PM25|Premature mortality", US_national_yearly!$D:$AM, 10, FALSE), 1)</f>
        <v>2.4468463909169198E-2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4.9933416967046053E-5</v>
      </c>
      <c r="C3" s="7">
        <f>$B3 * IFERROR(VLOOKUP("buildings|PM25|Infant mortality", US_national_yearly!$D:$AM, 11, FALSE) / VLOOKUP("buildings|PM25|Infant mortality", US_national_yearly!$D:$AM, 10, FALSE), 1)</f>
        <v>4.9500912801230981E-5</v>
      </c>
      <c r="D3" s="7">
        <f>$B3 * IFERROR(VLOOKUP("buildings|PM25|Infant mortality", US_national_yearly!$D:$AM, 12, FALSE) / VLOOKUP("buildings|PM25|Infant mortality", US_national_yearly!$D:$AM, 10, FALSE), 1)</f>
        <v>4.9068408635415909E-5</v>
      </c>
      <c r="E3" s="7">
        <f>$B3 * IFERROR(VLOOKUP("buildings|PM25|Infant mortality", US_national_yearly!$D:$AM, 13, FALSE) / VLOOKUP("buildings|PM25|Infant mortality", US_national_yearly!$D:$AM, 10, FALSE), 1)</f>
        <v>4.8635904469600837E-5</v>
      </c>
      <c r="F3" s="7">
        <f>$B3 * IFERROR(VLOOKUP("buildings|PM25|Infant mortality", US_national_yearly!$D:$AM, 14, FALSE) / VLOOKUP("buildings|PM25|Infant mortality", US_national_yearly!$D:$AM, 10, FALSE), 1)</f>
        <v>4.8203400303785764E-5</v>
      </c>
      <c r="G3" s="7">
        <f>$B3 * IFERROR(VLOOKUP("buildings|PM25|Infant mortality", US_national_yearly!$D:$AM, 15, FALSE) / VLOOKUP("buildings|PM25|Infant mortality", US_national_yearly!$D:$AM, 10, FALSE), 1)</f>
        <v>3.2053512422411611E-5</v>
      </c>
      <c r="H3" s="7">
        <f>$B3 * IFERROR(VLOOKUP("buildings|PM25|Infant mortality", US_national_yearly!$D:$AM, 16, FALSE) / VLOOKUP("buildings|PM25|Infant mortality", US_national_yearly!$D:$AM, 10, FALSE), 1)</f>
        <v>1.5903624541037457E-5</v>
      </c>
      <c r="I3" s="7">
        <f>$B3 * IFERROR(VLOOKUP("buildings|PM25|Infant mortality", US_national_yearly!$D:$AM, 17, FALSE) / VLOOKUP("buildings|PM25|Infant mortality", US_national_yearly!$D:$AM, 10, FALSE), 1)</f>
        <v>1.5799990072527532E-5</v>
      </c>
      <c r="J3" s="7">
        <f>$B3 * IFERROR(VLOOKUP("buildings|PM25|Infant mortality", US_national_yearly!$D:$AM, 18, FALSE) / VLOOKUP("buildings|PM25|Infant mortality", US_national_yearly!$D:$AM, 10, FALSE), 1)</f>
        <v>1.569635560401761E-5</v>
      </c>
      <c r="K3" s="7">
        <f>$B3 * IFERROR(VLOOKUP("buildings|PM25|Infant mortality", US_national_yearly!$D:$AM, 19, FALSE) / VLOOKUP("buildings|PM25|Infant mortality", US_national_yearly!$D:$AM, 10, FALSE), 1)</f>
        <v>1.5592721135507685E-5</v>
      </c>
      <c r="L3" s="7">
        <f>$B3 * IFERROR(VLOOKUP("buildings|PM25|Infant mortality", US_national_yearly!$D:$AM, 20, FALSE) / VLOOKUP("buildings|PM25|Infant mortality", US_national_yearly!$D:$AM, 10, FALSE), 1)</f>
        <v>1.548908666699776E-5</v>
      </c>
      <c r="M3" s="7">
        <f>$B3 * IFERROR(VLOOKUP("buildings|PM25|Infant mortality", US_national_yearly!$D:$AM, 21, FALSE) / VLOOKUP("buildings|PM25|Infant mortality", US_national_yearly!$D:$AM, 10, FALSE), 1)</f>
        <v>1.5385452198487835E-5</v>
      </c>
      <c r="N3" s="7">
        <f>$B3 * IFERROR(VLOOKUP("buildings|PM25|Infant mortality", US_national_yearly!$D:$AM, 22, FALSE) / VLOOKUP("buildings|PM25|Infant mortality", US_national_yearly!$D:$AM, 10, FALSE), 1)</f>
        <v>1.5320608556301775E-5</v>
      </c>
      <c r="O3" s="7">
        <f>$B3 * IFERROR(VLOOKUP("buildings|PM25|Infant mortality", US_national_yearly!$D:$AM, 23, FALSE) / VLOOKUP("buildings|PM25|Infant mortality", US_national_yearly!$D:$AM, 10, FALSE), 1)</f>
        <v>1.5255764914115714E-5</v>
      </c>
      <c r="P3" s="7">
        <f>$B3 * IFERROR(VLOOKUP("buildings|PM25|Infant mortality", US_national_yearly!$D:$AM, 24, FALSE) / VLOOKUP("buildings|PM25|Infant mortality", US_national_yearly!$D:$AM, 10, FALSE), 1)</f>
        <v>1.5190921271929653E-5</v>
      </c>
      <c r="Q3" s="7">
        <f>$B3 * IFERROR(VLOOKUP("buildings|PM25|Infant mortality", US_national_yearly!$D:$AM, 25, FALSE) / VLOOKUP("buildings|PM25|Infant mortality", US_national_yearly!$D:$AM, 10, FALSE), 1)</f>
        <v>1.5126077629743592E-5</v>
      </c>
      <c r="R3" s="7">
        <f>$B3 * IFERROR(VLOOKUP("buildings|PM25|Infant mortality", US_national_yearly!$D:$AM, 26, FALSE) / VLOOKUP("buildings|PM25|Infant mortality", US_national_yearly!$D:$AM, 10, FALSE), 1)</f>
        <v>1.5061233987557529E-5</v>
      </c>
      <c r="S3" s="7">
        <f>$B3 * IFERROR(VLOOKUP("buildings|PM25|Infant mortality", US_national_yearly!$D:$AM, 27, FALSE) / VLOOKUP("buildings|PM25|Infant mortality", US_national_yearly!$D:$AM, 10, FALSE), 1)</f>
        <v>1.4980272241471978E-5</v>
      </c>
      <c r="T3" s="7">
        <f>$B3 * IFERROR(VLOOKUP("buildings|PM25|Infant mortality", US_national_yearly!$D:$AM, 28, FALSE) / VLOOKUP("buildings|PM25|Infant mortality", US_national_yearly!$D:$AM, 10, FALSE), 1)</f>
        <v>1.489931049538643E-5</v>
      </c>
      <c r="U3" s="7">
        <f>$B3 * IFERROR(VLOOKUP("buildings|PM25|Infant mortality", US_national_yearly!$D:$AM, 29, FALSE) / VLOOKUP("buildings|PM25|Infant mortality", US_national_yearly!$D:$AM, 10, FALSE), 1)</f>
        <v>1.4818348749300876E-5</v>
      </c>
      <c r="V3" s="7">
        <f>$B3 * IFERROR(VLOOKUP("buildings|PM25|Infant mortality", US_national_yearly!$D:$AM, 30, FALSE) / VLOOKUP("buildings|PM25|Infant mortality", US_national_yearly!$D:$AM, 10, FALSE), 1)</f>
        <v>1.4737387003215329E-5</v>
      </c>
      <c r="W3" s="7">
        <f>$B3 * IFERROR(VLOOKUP("buildings|PM25|Infant mortality", US_national_yearly!$D:$AM, 31, FALSE) / VLOOKUP("buildings|PM25|Infant mortality", US_national_yearly!$D:$AM, 10, FALSE), 1)</f>
        <v>1.4656425257129776E-5</v>
      </c>
      <c r="X3" s="7">
        <f>$B3 * IFERROR(VLOOKUP("buildings|PM25|Infant mortality", US_national_yearly!$D:$AM, 32, FALSE) / VLOOKUP("buildings|PM25|Infant mortality", US_national_yearly!$D:$AM, 10, FALSE), 1)</f>
        <v>1.4569259513333539E-5</v>
      </c>
      <c r="Y3" s="7">
        <f>$B3 * IFERROR(VLOOKUP("buildings|PM25|Infant mortality", US_national_yearly!$D:$AM, 33, FALSE) / VLOOKUP("buildings|PM25|Infant mortality", US_national_yearly!$D:$AM, 10, FALSE), 1)</f>
        <v>1.4482093769537302E-5</v>
      </c>
      <c r="Z3" s="7">
        <f>$B3 * IFERROR(VLOOKUP("buildings|PM25|Infant mortality", US_national_yearly!$D:$AM, 34, FALSE) / VLOOKUP("buildings|PM25|Infant mortality", US_national_yearly!$D:$AM, 10, FALSE), 1)</f>
        <v>1.4394928025741065E-5</v>
      </c>
      <c r="AA3" s="7">
        <f>$B3 * IFERROR(VLOOKUP("buildings|PM25|Infant mortality", US_national_yearly!$D:$AM, 35, FALSE) / VLOOKUP("buildings|PM25|Infant mortality", US_national_yearly!$D:$AM, 10, FALSE), 1)</f>
        <v>1.4307762281944827E-5</v>
      </c>
      <c r="AB3" s="7">
        <f>$B3 * IFERROR(VLOOKUP("buildings|PM25|Infant mortality", US_national_yearly!$D:$AM, 36, FALSE) / VLOOKUP("buildings|PM25|Infant mortality", US_national_yearly!$D:$AM, 10, FALSE), 1)</f>
        <v>1.422059653814859E-5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4.7285741052174507E-2</v>
      </c>
      <c r="C6" s="7">
        <f>$B6 * IFERROR(VLOOKUP("buildings|PM25|Asthma symptoms cough", US_national_yearly!$D:$AM, 11, FALSE) / VLOOKUP("buildings|PM25|Asthma symptoms cough", US_national_yearly!$D:$AM, 10, FALSE), 1)</f>
        <v>4.7285741052174507E-2</v>
      </c>
      <c r="D6" s="7">
        <f>$B6 * IFERROR(VLOOKUP("buildings|PM25|Asthma symptoms cough", US_national_yearly!$D:$AM, 12, FALSE) / VLOOKUP("buildings|PM25|Asthma symptoms cough", US_national_yearly!$D:$AM, 10, FALSE), 1)</f>
        <v>4.7285741052174507E-2</v>
      </c>
      <c r="E6" s="7">
        <f>$B6 * IFERROR(VLOOKUP("buildings|PM25|Asthma symptoms cough", US_national_yearly!$D:$AM, 13, FALSE) / VLOOKUP("buildings|PM25|Asthma symptoms cough", US_national_yearly!$D:$AM, 10, FALSE), 1)</f>
        <v>4.7285741052174507E-2</v>
      </c>
      <c r="F6" s="7">
        <f>$B6 * IFERROR(VLOOKUP("buildings|PM25|Asthma symptoms cough", US_national_yearly!$D:$AM, 14, FALSE) / VLOOKUP("buildings|PM25|Asthma symptoms cough", US_national_yearly!$D:$AM, 10, FALSE), 1)</f>
        <v>4.7285741052174507E-2</v>
      </c>
      <c r="G6" s="7">
        <f>$B6 * IFERROR(VLOOKUP("buildings|PM25|Asthma symptoms cough", US_national_yearly!$D:$AM, 15, FALSE) / VLOOKUP("buildings|PM25|Asthma symptoms cough", US_national_yearly!$D:$AM, 10, FALSE), 1)</f>
        <v>4.7285741052174507E-2</v>
      </c>
      <c r="H6" s="7">
        <f>$B6 * IFERROR(VLOOKUP("buildings|PM25|Asthma symptoms cough", US_national_yearly!$D:$AM, 16, FALSE) / VLOOKUP("buildings|PM25|Asthma symptoms cough", US_national_yearly!$D:$AM, 10, FALSE), 1)</f>
        <v>4.7285741052174507E-2</v>
      </c>
      <c r="I6" s="7">
        <f>$B6 * IFERROR(VLOOKUP("buildings|PM25|Asthma symptoms cough", US_national_yearly!$D:$AM, 17, FALSE) / VLOOKUP("buildings|PM25|Asthma symptoms cough", US_national_yearly!$D:$AM, 10, FALSE), 1)</f>
        <v>4.7285741052174507E-2</v>
      </c>
      <c r="J6" s="7">
        <f>$B6 * IFERROR(VLOOKUP("buildings|PM25|Asthma symptoms cough", US_national_yearly!$D:$AM, 18, FALSE) / VLOOKUP("buildings|PM25|Asthma symptoms cough", US_national_yearly!$D:$AM, 10, FALSE), 1)</f>
        <v>4.7285741052174507E-2</v>
      </c>
      <c r="K6" s="7">
        <f>$B6 * IFERROR(VLOOKUP("buildings|PM25|Asthma symptoms cough", US_national_yearly!$D:$AM, 19, FALSE) / VLOOKUP("buildings|PM25|Asthma symptoms cough", US_national_yearly!$D:$AM, 10, FALSE), 1)</f>
        <v>4.7285741052174507E-2</v>
      </c>
      <c r="L6" s="7">
        <f>$B6 * IFERROR(VLOOKUP("buildings|PM25|Asthma symptoms cough", US_national_yearly!$D:$AM, 20, FALSE) / VLOOKUP("buildings|PM25|Asthma symptoms cough", US_national_yearly!$D:$AM, 10, FALSE), 1)</f>
        <v>4.7285741052174507E-2</v>
      </c>
      <c r="M6" s="7">
        <f>$B6 * IFERROR(VLOOKUP("buildings|PM25|Asthma symptoms cough", US_national_yearly!$D:$AM, 21, FALSE) / VLOOKUP("buildings|PM25|Asthma symptoms cough", US_national_yearly!$D:$AM, 10, FALSE), 1)</f>
        <v>4.7285741052174507E-2</v>
      </c>
      <c r="N6" s="7">
        <f>$B6 * IFERROR(VLOOKUP("buildings|PM25|Asthma symptoms cough", US_national_yearly!$D:$AM, 22, FALSE) / VLOOKUP("buildings|PM25|Asthma symptoms cough", US_national_yearly!$D:$AM, 10, FALSE), 1)</f>
        <v>4.7285741052174507E-2</v>
      </c>
      <c r="O6" s="7">
        <f>$B6 * IFERROR(VLOOKUP("buildings|PM25|Asthma symptoms cough", US_national_yearly!$D:$AM, 23, FALSE) / VLOOKUP("buildings|PM25|Asthma symptoms cough", US_national_yearly!$D:$AM, 10, FALSE), 1)</f>
        <v>4.7285741052174507E-2</v>
      </c>
      <c r="P6" s="7">
        <f>$B6 * IFERROR(VLOOKUP("buildings|PM25|Asthma symptoms cough", US_national_yearly!$D:$AM, 24, FALSE) / VLOOKUP("buildings|PM25|Asthma symptoms cough", US_national_yearly!$D:$AM, 10, FALSE), 1)</f>
        <v>4.7285741052174507E-2</v>
      </c>
      <c r="Q6" s="7">
        <f>$B6 * IFERROR(VLOOKUP("buildings|PM25|Asthma symptoms cough", US_national_yearly!$D:$AM, 25, FALSE) / VLOOKUP("buildings|PM25|Asthma symptoms cough", US_national_yearly!$D:$AM, 10, FALSE), 1)</f>
        <v>4.7285741052174507E-2</v>
      </c>
      <c r="R6" s="7">
        <f>$B6 * IFERROR(VLOOKUP("buildings|PM25|Asthma symptoms cough", US_national_yearly!$D:$AM, 26, FALSE) / VLOOKUP("buildings|PM25|Asthma symptoms cough", US_national_yearly!$D:$AM, 10, FALSE), 1)</f>
        <v>4.7285741052174507E-2</v>
      </c>
      <c r="S6" s="7">
        <f>$B6 * IFERROR(VLOOKUP("buildings|PM25|Asthma symptoms cough", US_national_yearly!$D:$AM, 27, FALSE) / VLOOKUP("buildings|PM25|Asthma symptoms cough", US_national_yearly!$D:$AM, 10, FALSE), 1)</f>
        <v>4.7285741052174507E-2</v>
      </c>
      <c r="T6" s="7">
        <f>$B6 * IFERROR(VLOOKUP("buildings|PM25|Asthma symptoms cough", US_national_yearly!$D:$AM, 28, FALSE) / VLOOKUP("buildings|PM25|Asthma symptoms cough", US_national_yearly!$D:$AM, 10, FALSE), 1)</f>
        <v>4.7285741052174507E-2</v>
      </c>
      <c r="U6" s="7">
        <f>$B6 * IFERROR(VLOOKUP("buildings|PM25|Asthma symptoms cough", US_national_yearly!$D:$AM, 29, FALSE) / VLOOKUP("buildings|PM25|Asthma symptoms cough", US_national_yearly!$D:$AM, 10, FALSE), 1)</f>
        <v>4.7285741052174507E-2</v>
      </c>
      <c r="V6" s="7">
        <f>$B6 * IFERROR(VLOOKUP("buildings|PM25|Asthma symptoms cough", US_national_yearly!$D:$AM, 30, FALSE) / VLOOKUP("buildings|PM25|Asthma symptoms cough", US_national_yearly!$D:$AM, 10, FALSE), 1)</f>
        <v>4.7285741052174507E-2</v>
      </c>
      <c r="W6" s="7">
        <f>$B6 * IFERROR(VLOOKUP("buildings|PM25|Asthma symptoms cough", US_national_yearly!$D:$AM, 31, FALSE) / VLOOKUP("buildings|PM25|Asthma symptoms cough", US_national_yearly!$D:$AM, 10, FALSE), 1)</f>
        <v>4.7285741052174507E-2</v>
      </c>
      <c r="X6" s="7">
        <f>$B6 * IFERROR(VLOOKUP("buildings|PM25|Asthma symptoms cough", US_national_yearly!$D:$AM, 32, FALSE) / VLOOKUP("buildings|PM25|Asthma symptoms cough", US_national_yearly!$D:$AM, 10, FALSE), 1)</f>
        <v>4.7285741052174507E-2</v>
      </c>
      <c r="Y6" s="7">
        <f>$B6 * IFERROR(VLOOKUP("buildings|PM25|Asthma symptoms cough", US_national_yearly!$D:$AM, 33, FALSE) / VLOOKUP("buildings|PM25|Asthma symptoms cough", US_national_yearly!$D:$AM, 10, FALSE), 1)</f>
        <v>4.7285741052174507E-2</v>
      </c>
      <c r="Z6" s="7">
        <f>$B6 * IFERROR(VLOOKUP("buildings|PM25|Asthma symptoms cough", US_national_yearly!$D:$AM, 34, FALSE) / VLOOKUP("buildings|PM25|Asthma symptoms cough", US_national_yearly!$D:$AM, 10, FALSE), 1)</f>
        <v>4.7285741052174507E-2</v>
      </c>
      <c r="AA6" s="7">
        <f>$B6 * IFERROR(VLOOKUP("buildings|PM25|Asthma symptoms cough", US_national_yearly!$D:$AM, 35, FALSE) / VLOOKUP("buildings|PM25|Asthma symptoms cough", US_national_yearly!$D:$AM, 10, FALSE), 1)</f>
        <v>4.7285741052174507E-2</v>
      </c>
      <c r="AB6" s="7">
        <f>$B6 * IFERROR(VLOOKUP("buildings|PM25|Asthma symptoms cough", US_national_yearly!$D:$AM, 36, FALSE) / VLOOKUP("buildings|PM25|Asthma symptoms cough", US_national_yearly!$D:$AM, 10, FALSE), 1)</f>
        <v>4.7285741052174507E-2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6.3677147805043313E-2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6.3677147805043313E-2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6.3677147805043313E-2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6.3677147805043313E-2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6.3677147805043313E-2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6.3677147805043313E-2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6.3677147805043313E-2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6.3677147805043313E-2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6.3677147805043313E-2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6.3677147805043313E-2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6.3677147805043313E-2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6.3677147805043313E-2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6.3677147805043313E-2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6.3677147805043313E-2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6.3677147805043313E-2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6.3677147805043313E-2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6.3677147805043313E-2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6.3677147805043313E-2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6.3677147805043313E-2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6.3677147805043313E-2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6.3677147805043313E-2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6.3677147805043313E-2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6.3677147805043313E-2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6.3677147805043313E-2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6.3677147805043313E-2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6.3677147805043313E-2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6.3677147805043313E-2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9.7287760913761109E-2</v>
      </c>
      <c r="C8" s="7">
        <f>$B8 * IFERROR(VLOOKUP("buildings|PM25|Asthma symptoms wheeze", US_national_yearly!$D:$AM, 11, FALSE) / VLOOKUP("buildings|PM25|Asthma symptoms wheeze", US_national_yearly!$D:$AM, 10, FALSE), 1)</f>
        <v>9.7287760913761109E-2</v>
      </c>
      <c r="D8" s="7">
        <f>$B8 * IFERROR(VLOOKUP("buildings|PM25|Asthma symptoms wheeze", US_national_yearly!$D:$AM, 12, FALSE) / VLOOKUP("buildings|PM25|Asthma symptoms wheeze", US_national_yearly!$D:$AM, 10, FALSE), 1)</f>
        <v>9.7287760913761109E-2</v>
      </c>
      <c r="E8" s="7">
        <f>$B8 * IFERROR(VLOOKUP("buildings|PM25|Asthma symptoms wheeze", US_national_yearly!$D:$AM, 13, FALSE) / VLOOKUP("buildings|PM25|Asthma symptoms wheeze", US_national_yearly!$D:$AM, 10, FALSE), 1)</f>
        <v>9.7287760913761109E-2</v>
      </c>
      <c r="F8" s="7">
        <f>$B8 * IFERROR(VLOOKUP("buildings|PM25|Asthma symptoms wheeze", US_national_yearly!$D:$AM, 14, FALSE) / VLOOKUP("buildings|PM25|Asthma symptoms wheeze", US_national_yearly!$D:$AM, 10, FALSE), 1)</f>
        <v>9.7287760913761109E-2</v>
      </c>
      <c r="G8" s="7">
        <f>$B8 * IFERROR(VLOOKUP("buildings|PM25|Asthma symptoms wheeze", US_national_yearly!$D:$AM, 15, FALSE) / VLOOKUP("buildings|PM25|Asthma symptoms wheeze", US_national_yearly!$D:$AM, 10, FALSE), 1)</f>
        <v>9.7287760913761109E-2</v>
      </c>
      <c r="H8" s="7">
        <f>$B8 * IFERROR(VLOOKUP("buildings|PM25|Asthma symptoms wheeze", US_national_yearly!$D:$AM, 16, FALSE) / VLOOKUP("buildings|PM25|Asthma symptoms wheeze", US_national_yearly!$D:$AM, 10, FALSE), 1)</f>
        <v>9.7287760913761109E-2</v>
      </c>
      <c r="I8" s="7">
        <f>$B8 * IFERROR(VLOOKUP("buildings|PM25|Asthma symptoms wheeze", US_national_yearly!$D:$AM, 17, FALSE) / VLOOKUP("buildings|PM25|Asthma symptoms wheeze", US_national_yearly!$D:$AM, 10, FALSE), 1)</f>
        <v>9.7287760913761109E-2</v>
      </c>
      <c r="J8" s="7">
        <f>$B8 * IFERROR(VLOOKUP("buildings|PM25|Asthma symptoms wheeze", US_national_yearly!$D:$AM, 18, FALSE) / VLOOKUP("buildings|PM25|Asthma symptoms wheeze", US_national_yearly!$D:$AM, 10, FALSE), 1)</f>
        <v>9.7287760913761109E-2</v>
      </c>
      <c r="K8" s="7">
        <f>$B8 * IFERROR(VLOOKUP("buildings|PM25|Asthma symptoms wheeze", US_national_yearly!$D:$AM, 19, FALSE) / VLOOKUP("buildings|PM25|Asthma symptoms wheeze", US_national_yearly!$D:$AM, 10, FALSE), 1)</f>
        <v>9.7287760913761109E-2</v>
      </c>
      <c r="L8" s="7">
        <f>$B8 * IFERROR(VLOOKUP("buildings|PM25|Asthma symptoms wheeze", US_national_yearly!$D:$AM, 20, FALSE) / VLOOKUP("buildings|PM25|Asthma symptoms wheeze", US_national_yearly!$D:$AM, 10, FALSE), 1)</f>
        <v>9.7287760913761109E-2</v>
      </c>
      <c r="M8" s="7">
        <f>$B8 * IFERROR(VLOOKUP("buildings|PM25|Asthma symptoms wheeze", US_national_yearly!$D:$AM, 21, FALSE) / VLOOKUP("buildings|PM25|Asthma symptoms wheeze", US_national_yearly!$D:$AM, 10, FALSE), 1)</f>
        <v>9.7287760913761109E-2</v>
      </c>
      <c r="N8" s="7">
        <f>$B8 * IFERROR(VLOOKUP("buildings|PM25|Asthma symptoms wheeze", US_national_yearly!$D:$AM, 22, FALSE) / VLOOKUP("buildings|PM25|Asthma symptoms wheeze", US_national_yearly!$D:$AM, 10, FALSE), 1)</f>
        <v>9.7287760913761109E-2</v>
      </c>
      <c r="O8" s="7">
        <f>$B8 * IFERROR(VLOOKUP("buildings|PM25|Asthma symptoms wheeze", US_national_yearly!$D:$AM, 23, FALSE) / VLOOKUP("buildings|PM25|Asthma symptoms wheeze", US_national_yearly!$D:$AM, 10, FALSE), 1)</f>
        <v>9.7287760913761109E-2</v>
      </c>
      <c r="P8" s="7">
        <f>$B8 * IFERROR(VLOOKUP("buildings|PM25|Asthma symptoms wheeze", US_national_yearly!$D:$AM, 24, FALSE) / VLOOKUP("buildings|PM25|Asthma symptoms wheeze", US_national_yearly!$D:$AM, 10, FALSE), 1)</f>
        <v>9.7287760913761109E-2</v>
      </c>
      <c r="Q8" s="7">
        <f>$B8 * IFERROR(VLOOKUP("buildings|PM25|Asthma symptoms wheeze", US_national_yearly!$D:$AM, 25, FALSE) / VLOOKUP("buildings|PM25|Asthma symptoms wheeze", US_national_yearly!$D:$AM, 10, FALSE), 1)</f>
        <v>9.7287760913761109E-2</v>
      </c>
      <c r="R8" s="7">
        <f>$B8 * IFERROR(VLOOKUP("buildings|PM25|Asthma symptoms wheeze", US_national_yearly!$D:$AM, 26, FALSE) / VLOOKUP("buildings|PM25|Asthma symptoms wheeze", US_national_yearly!$D:$AM, 10, FALSE), 1)</f>
        <v>9.7287760913761109E-2</v>
      </c>
      <c r="S8" s="7">
        <f>$B8 * IFERROR(VLOOKUP("buildings|PM25|Asthma symptoms wheeze", US_national_yearly!$D:$AM, 27, FALSE) / VLOOKUP("buildings|PM25|Asthma symptoms wheeze", US_national_yearly!$D:$AM, 10, FALSE), 1)</f>
        <v>9.7287760913761109E-2</v>
      </c>
      <c r="T8" s="7">
        <f>$B8 * IFERROR(VLOOKUP("buildings|PM25|Asthma symptoms wheeze", US_national_yearly!$D:$AM, 28, FALSE) / VLOOKUP("buildings|PM25|Asthma symptoms wheeze", US_national_yearly!$D:$AM, 10, FALSE), 1)</f>
        <v>9.7287760913761109E-2</v>
      </c>
      <c r="U8" s="7">
        <f>$B8 * IFERROR(VLOOKUP("buildings|PM25|Asthma symptoms wheeze", US_national_yearly!$D:$AM, 29, FALSE) / VLOOKUP("buildings|PM25|Asthma symptoms wheeze", US_national_yearly!$D:$AM, 10, FALSE), 1)</f>
        <v>9.7287760913761109E-2</v>
      </c>
      <c r="V8" s="7">
        <f>$B8 * IFERROR(VLOOKUP("buildings|PM25|Asthma symptoms wheeze", US_national_yearly!$D:$AM, 30, FALSE) / VLOOKUP("buildings|PM25|Asthma symptoms wheeze", US_national_yearly!$D:$AM, 10, FALSE), 1)</f>
        <v>9.7287760913761109E-2</v>
      </c>
      <c r="W8" s="7">
        <f>$B8 * IFERROR(VLOOKUP("buildings|PM25|Asthma symptoms wheeze", US_national_yearly!$D:$AM, 31, FALSE) / VLOOKUP("buildings|PM25|Asthma symptoms wheeze", US_national_yearly!$D:$AM, 10, FALSE), 1)</f>
        <v>9.7287760913761109E-2</v>
      </c>
      <c r="X8" s="7">
        <f>$B8 * IFERROR(VLOOKUP("buildings|PM25|Asthma symptoms wheeze", US_national_yearly!$D:$AM, 32, FALSE) / VLOOKUP("buildings|PM25|Asthma symptoms wheeze", US_national_yearly!$D:$AM, 10, FALSE), 1)</f>
        <v>9.7287760913761109E-2</v>
      </c>
      <c r="Y8" s="7">
        <f>$B8 * IFERROR(VLOOKUP("buildings|PM25|Asthma symptoms wheeze", US_national_yearly!$D:$AM, 33, FALSE) / VLOOKUP("buildings|PM25|Asthma symptoms wheeze", US_national_yearly!$D:$AM, 10, FALSE), 1)</f>
        <v>9.7287760913761109E-2</v>
      </c>
      <c r="Z8" s="7">
        <f>$B8 * IFERROR(VLOOKUP("buildings|PM25|Asthma symptoms wheeze", US_national_yearly!$D:$AM, 34, FALSE) / VLOOKUP("buildings|PM25|Asthma symptoms wheeze", US_national_yearly!$D:$AM, 10, FALSE), 1)</f>
        <v>9.7287760913761109E-2</v>
      </c>
      <c r="AA8" s="7">
        <f>$B8 * IFERROR(VLOOKUP("buildings|PM25|Asthma symptoms wheeze", US_national_yearly!$D:$AM, 35, FALSE) / VLOOKUP("buildings|PM25|Asthma symptoms wheeze", US_national_yearly!$D:$AM, 10, FALSE), 1)</f>
        <v>9.7287760913761109E-2</v>
      </c>
      <c r="AB8" s="7">
        <f>$B8 * IFERROR(VLOOKUP("buildings|PM25|Asthma symptoms wheeze", US_national_yearly!$D:$AM, 36, FALSE) / VLOOKUP("buildings|PM25|Asthma symptoms wheeze", US_national_yearly!$D:$AM, 10, FALSE), 1)</f>
        <v>9.7287760913761109E-2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1.6278759825251244E-3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1.6372593303509465E-3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1.6466426781767689E-3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1.6560260260025915E-3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1.6654093738284138E-3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1.6755348754839885E-3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1.6856603771395629E-3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1.695290644845687E-3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1.7049209125518106E-3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1.7145511802579342E-3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1.7241814479640582E-3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1.7338117156701818E-3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1.7407384869436353E-3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1.7476652582170888E-3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1.7545920294905423E-3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1.7615188007639954E-3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1.7684455720374489E-3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1.775045212061035E-3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1.781644852084622E-3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1.7882444921082082E-3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1.7948441321317943E-3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1.8014437721553813E-3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1.8078179782566818E-3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1.8141921843579825E-3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1.820566390459283E-3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1.8269405965605839E-3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1.8333148026618844E-3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9.0192190361159733E-3</v>
      </c>
      <c r="C13" s="7">
        <f>$B13 * IFERROR(VLOOKUP("buildings|PM25|Non-fatal heart attacks", US_national_yearly!$D:$AM, 11, FALSE) / VLOOKUP("buildings|PM25|Non-fatal heart attacks", US_national_yearly!$D:$AM, 10, FALSE), 1)</f>
        <v>9.2815557842292201E-3</v>
      </c>
      <c r="D13" s="7">
        <f>$B13 * IFERROR(VLOOKUP("buildings|PM25|Non-fatal heart attacks", US_national_yearly!$D:$AM, 12, FALSE) / VLOOKUP("buildings|PM25|Non-fatal heart attacks", US_national_yearly!$D:$AM, 10, FALSE), 1)</f>
        <v>9.5438925323424652E-3</v>
      </c>
      <c r="E13" s="7">
        <f>$B13 * IFERROR(VLOOKUP("buildings|PM25|Non-fatal heart attacks", US_national_yearly!$D:$AM, 13, FALSE) / VLOOKUP("buildings|PM25|Non-fatal heart attacks", US_national_yearly!$D:$AM, 10, FALSE), 1)</f>
        <v>9.8062292804557104E-3</v>
      </c>
      <c r="F13" s="7">
        <f>$B13 * IFERROR(VLOOKUP("buildings|PM25|Non-fatal heart attacks", US_national_yearly!$D:$AM, 14, FALSE) / VLOOKUP("buildings|PM25|Non-fatal heart attacks", US_national_yearly!$D:$AM, 10, FALSE), 1)</f>
        <v>1.0068566028568957E-2</v>
      </c>
      <c r="G13" s="7">
        <f>$B13 * IFERROR(VLOOKUP("buildings|PM25|Non-fatal heart attacks", US_national_yearly!$D:$AM, 15, FALSE) / VLOOKUP("buildings|PM25|Non-fatal heart attacks", US_national_yearly!$D:$AM, 10, FALSE), 1)</f>
        <v>1.0316095733821251E-2</v>
      </c>
      <c r="H13" s="7">
        <f>$B13 * IFERROR(VLOOKUP("buildings|PM25|Non-fatal heart attacks", US_national_yearly!$D:$AM, 16, FALSE) / VLOOKUP("buildings|PM25|Non-fatal heart attacks", US_national_yearly!$D:$AM, 10, FALSE), 1)</f>
        <v>1.056362543907354E-2</v>
      </c>
      <c r="I13" s="7">
        <f>$B13 * IFERROR(VLOOKUP("buildings|PM25|Non-fatal heart attacks", US_national_yearly!$D:$AM, 17, FALSE) / VLOOKUP("buildings|PM25|Non-fatal heart attacks", US_national_yearly!$D:$AM, 10, FALSE), 1)</f>
        <v>1.0762782312294472E-2</v>
      </c>
      <c r="J13" s="7">
        <f>$B13 * IFERROR(VLOOKUP("buildings|PM25|Non-fatal heart attacks", US_national_yearly!$D:$AM, 18, FALSE) / VLOOKUP("buildings|PM25|Non-fatal heart attacks", US_national_yearly!$D:$AM, 10, FALSE), 1)</f>
        <v>1.0961939185515404E-2</v>
      </c>
      <c r="K13" s="7">
        <f>$B13 * IFERROR(VLOOKUP("buildings|PM25|Non-fatal heart attacks", US_national_yearly!$D:$AM, 19, FALSE) / VLOOKUP("buildings|PM25|Non-fatal heart attacks", US_national_yearly!$D:$AM, 10, FALSE), 1)</f>
        <v>1.1161096058736334E-2</v>
      </c>
      <c r="L13" s="7">
        <f>$B13 * IFERROR(VLOOKUP("buildings|PM25|Non-fatal heart attacks", US_national_yearly!$D:$AM, 20, FALSE) / VLOOKUP("buildings|PM25|Non-fatal heart attacks", US_national_yearly!$D:$AM, 10, FALSE), 1)</f>
        <v>1.1360252931957264E-2</v>
      </c>
      <c r="M13" s="7">
        <f>$B13 * IFERROR(VLOOKUP("buildings|PM25|Non-fatal heart attacks", US_national_yearly!$D:$AM, 21, FALSE) / VLOOKUP("buildings|PM25|Non-fatal heart attacks", US_national_yearly!$D:$AM, 10, FALSE), 1)</f>
        <v>1.1559409805178195E-2</v>
      </c>
      <c r="N13" s="7">
        <f>$B13 * IFERROR(VLOOKUP("buildings|PM25|Non-fatal heart attacks", US_national_yearly!$D:$AM, 22, FALSE) / VLOOKUP("buildings|PM25|Non-fatal heart attacks", US_national_yearly!$D:$AM, 10, FALSE), 1)</f>
        <v>1.1688068256762291E-2</v>
      </c>
      <c r="O13" s="7">
        <f>$B13 * IFERROR(VLOOKUP("buildings|PM25|Non-fatal heart attacks", US_national_yearly!$D:$AM, 23, FALSE) / VLOOKUP("buildings|PM25|Non-fatal heart attacks", US_national_yearly!$D:$AM, 10, FALSE), 1)</f>
        <v>1.1816726708346388E-2</v>
      </c>
      <c r="P13" s="7">
        <f>$B13 * IFERROR(VLOOKUP("buildings|PM25|Non-fatal heart attacks", US_national_yearly!$D:$AM, 24, FALSE) / VLOOKUP("buildings|PM25|Non-fatal heart attacks", US_national_yearly!$D:$AM, 10, FALSE), 1)</f>
        <v>1.1945385159930485E-2</v>
      </c>
      <c r="Q13" s="7">
        <f>$B13 * IFERROR(VLOOKUP("buildings|PM25|Non-fatal heart attacks", US_national_yearly!$D:$AM, 25, FALSE) / VLOOKUP("buildings|PM25|Non-fatal heart attacks", US_national_yearly!$D:$AM, 10, FALSE), 1)</f>
        <v>1.2074043611514582E-2</v>
      </c>
      <c r="R13" s="7">
        <f>$B13 * IFERROR(VLOOKUP("buildings|PM25|Non-fatal heart attacks", US_national_yearly!$D:$AM, 26, FALSE) / VLOOKUP("buildings|PM25|Non-fatal heart attacks", US_national_yearly!$D:$AM, 10, FALSE), 1)</f>
        <v>1.2202702063098678E-2</v>
      </c>
      <c r="S13" s="7">
        <f>$B13 * IFERROR(VLOOKUP("buildings|PM25|Non-fatal heart attacks", US_national_yearly!$D:$AM, 27, FALSE) / VLOOKUP("buildings|PM25|Non-fatal heart attacks", US_national_yearly!$D:$AM, 10, FALSE), 1)</f>
        <v>1.2270750745786169E-2</v>
      </c>
      <c r="T13" s="7">
        <f>$B13 * IFERROR(VLOOKUP("buildings|PM25|Non-fatal heart attacks", US_national_yearly!$D:$AM, 28, FALSE) / VLOOKUP("buildings|PM25|Non-fatal heart attacks", US_national_yearly!$D:$AM, 10, FALSE), 1)</f>
        <v>1.2338799428473664E-2</v>
      </c>
      <c r="U13" s="7">
        <f>$B13 * IFERROR(VLOOKUP("buildings|PM25|Non-fatal heart attacks", US_national_yearly!$D:$AM, 29, FALSE) / VLOOKUP("buildings|PM25|Non-fatal heart attacks", US_national_yearly!$D:$AM, 10, FALSE), 1)</f>
        <v>1.2406848111161158E-2</v>
      </c>
      <c r="V13" s="7">
        <f>$B13 * IFERROR(VLOOKUP("buildings|PM25|Non-fatal heart attacks", US_national_yearly!$D:$AM, 30, FALSE) / VLOOKUP("buildings|PM25|Non-fatal heart attacks", US_national_yearly!$D:$AM, 10, FALSE), 1)</f>
        <v>1.2474896793848651E-2</v>
      </c>
      <c r="W13" s="7">
        <f>$B13 * IFERROR(VLOOKUP("buildings|PM25|Non-fatal heart attacks", US_national_yearly!$D:$AM, 31, FALSE) / VLOOKUP("buildings|PM25|Non-fatal heart attacks", US_national_yearly!$D:$AM, 10, FALSE), 1)</f>
        <v>1.2542945476536144E-2</v>
      </c>
      <c r="X13" s="7">
        <f>$B13 * IFERROR(VLOOKUP("buildings|PM25|Non-fatal heart attacks", US_national_yearly!$D:$AM, 32, FALSE) / VLOOKUP("buildings|PM25|Non-fatal heart attacks", US_national_yearly!$D:$AM, 10, FALSE), 1)</f>
        <v>1.2594735494222976E-2</v>
      </c>
      <c r="Y13" s="7">
        <f>$B13 * IFERROR(VLOOKUP("buildings|PM25|Non-fatal heart attacks", US_national_yearly!$D:$AM, 33, FALSE) / VLOOKUP("buildings|PM25|Non-fatal heart attacks", US_national_yearly!$D:$AM, 10, FALSE), 1)</f>
        <v>1.2646525511909807E-2</v>
      </c>
      <c r="Z13" s="7">
        <f>$B13 * IFERROR(VLOOKUP("buildings|PM25|Non-fatal heart attacks", US_national_yearly!$D:$AM, 34, FALSE) / VLOOKUP("buildings|PM25|Non-fatal heart attacks", US_national_yearly!$D:$AM, 10, FALSE), 1)</f>
        <v>1.2698315529596637E-2</v>
      </c>
      <c r="AA13" s="7">
        <f>$B13 * IFERROR(VLOOKUP("buildings|PM25|Non-fatal heart attacks", US_national_yearly!$D:$AM, 35, FALSE) / VLOOKUP("buildings|PM25|Non-fatal heart attacks", US_national_yearly!$D:$AM, 10, FALSE), 1)</f>
        <v>1.2750105547283468E-2</v>
      </c>
      <c r="AB13" s="7">
        <f>$B13 * IFERROR(VLOOKUP("buildings|PM25|Non-fatal heart attacks", US_national_yearly!$D:$AM, 36, FALSE) / VLOOKUP("buildings|PM25|Non-fatal heart attacks", US_national_yearly!$D:$AM, 10, FALSE), 1)</f>
        <v>1.2801895564970302E-2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5.9588842665496147</v>
      </c>
      <c r="C14" s="7">
        <f>$B14 * IFERROR(VLOOKUP("buildings|PM25|Minor restricted activity days", US_national_yearly!$D:$AM, 11, FALSE) / VLOOKUP("buildings|PM25|Minor restricted activity days", US_national_yearly!$D:$AM, 10, FALSE), 1)</f>
        <v>5.973704345790213</v>
      </c>
      <c r="D14" s="7">
        <f>$B14 * IFERROR(VLOOKUP("buildings|PM25|Minor restricted activity days", US_national_yearly!$D:$AM, 12, FALSE) / VLOOKUP("buildings|PM25|Minor restricted activity days", US_national_yearly!$D:$AM, 10, FALSE), 1)</f>
        <v>5.9885244250308105</v>
      </c>
      <c r="E14" s="7">
        <f>$B14 * IFERROR(VLOOKUP("buildings|PM25|Minor restricted activity days", US_national_yearly!$D:$AM, 13, FALSE) / VLOOKUP("buildings|PM25|Minor restricted activity days", US_national_yearly!$D:$AM, 10, FALSE), 1)</f>
        <v>6.0033445042714089</v>
      </c>
      <c r="F14" s="7">
        <f>$B14 * IFERROR(VLOOKUP("buildings|PM25|Minor restricted activity days", US_national_yearly!$D:$AM, 14, FALSE) / VLOOKUP("buildings|PM25|Minor restricted activity days", US_national_yearly!$D:$AM, 10, FALSE), 1)</f>
        <v>6.0181645835120054</v>
      </c>
      <c r="G14" s="7">
        <f>$B14 * IFERROR(VLOOKUP("buildings|PM25|Minor restricted activity days", US_national_yearly!$D:$AM, 15, FALSE) / VLOOKUP("buildings|PM25|Minor restricted activity days", US_national_yearly!$D:$AM, 10, FALSE), 1)</f>
        <v>6.0399011400601461</v>
      </c>
      <c r="H14" s="7">
        <f>$B14 * IFERROR(VLOOKUP("buildings|PM25|Minor restricted activity days", US_national_yearly!$D:$AM, 16, FALSE) / VLOOKUP("buildings|PM25|Minor restricted activity days", US_national_yearly!$D:$AM, 10, FALSE), 1)</f>
        <v>6.0616376966082841</v>
      </c>
      <c r="I14" s="7">
        <f>$B14 * IFERROR(VLOOKUP("buildings|PM25|Minor restricted activity days", US_national_yearly!$D:$AM, 17, FALSE) / VLOOKUP("buildings|PM25|Minor restricted activity days", US_national_yearly!$D:$AM, 10, FALSE), 1)</f>
        <v>6.0985996003057341</v>
      </c>
      <c r="J14" s="7">
        <f>$B14 * IFERROR(VLOOKUP("buildings|PM25|Minor restricted activity days", US_national_yearly!$D:$AM, 18, FALSE) / VLOOKUP("buildings|PM25|Minor restricted activity days", US_national_yearly!$D:$AM, 10, FALSE), 1)</f>
        <v>6.1355615040031859</v>
      </c>
      <c r="K14" s="7">
        <f>$B14 * IFERROR(VLOOKUP("buildings|PM25|Minor restricted activity days", US_national_yearly!$D:$AM, 19, FALSE) / VLOOKUP("buildings|PM25|Minor restricted activity days", US_national_yearly!$D:$AM, 10, FALSE), 1)</f>
        <v>6.1725234077006323</v>
      </c>
      <c r="L14" s="7">
        <f>$B14 * IFERROR(VLOOKUP("buildings|PM25|Minor restricted activity days", US_national_yearly!$D:$AM, 20, FALSE) / VLOOKUP("buildings|PM25|Minor restricted activity days", US_national_yearly!$D:$AM, 10, FALSE), 1)</f>
        <v>6.2094853113980806</v>
      </c>
      <c r="M14" s="7">
        <f>$B14 * IFERROR(VLOOKUP("buildings|PM25|Minor restricted activity days", US_national_yearly!$D:$AM, 21, FALSE) / VLOOKUP("buildings|PM25|Minor restricted activity days", US_national_yearly!$D:$AM, 10, FALSE), 1)</f>
        <v>6.2464472150955288</v>
      </c>
      <c r="N14" s="7">
        <f>$B14 * IFERROR(VLOOKUP("buildings|PM25|Minor restricted activity days", US_national_yearly!$D:$AM, 22, FALSE) / VLOOKUP("buildings|PM25|Minor restricted activity days", US_national_yearly!$D:$AM, 10, FALSE), 1)</f>
        <v>6.2966695246548996</v>
      </c>
      <c r="O14" s="7">
        <f>$B14 * IFERROR(VLOOKUP("buildings|PM25|Minor restricted activity days", US_national_yearly!$D:$AM, 23, FALSE) / VLOOKUP("buildings|PM25|Minor restricted activity days", US_national_yearly!$D:$AM, 10, FALSE), 1)</f>
        <v>6.3468918342142677</v>
      </c>
      <c r="P14" s="7">
        <f>$B14 * IFERROR(VLOOKUP("buildings|PM25|Minor restricted activity days", US_national_yearly!$D:$AM, 24, FALSE) / VLOOKUP("buildings|PM25|Minor restricted activity days", US_national_yearly!$D:$AM, 10, FALSE), 1)</f>
        <v>6.3971141437736367</v>
      </c>
      <c r="Q14" s="7">
        <f>$B14 * IFERROR(VLOOKUP("buildings|PM25|Minor restricted activity days", US_national_yearly!$D:$AM, 25, FALSE) / VLOOKUP("buildings|PM25|Minor restricted activity days", US_national_yearly!$D:$AM, 10, FALSE), 1)</f>
        <v>6.4473364533330058</v>
      </c>
      <c r="R14" s="7">
        <f>$B14 * IFERROR(VLOOKUP("buildings|PM25|Minor restricted activity days", US_national_yearly!$D:$AM, 26, FALSE) / VLOOKUP("buildings|PM25|Minor restricted activity days", US_national_yearly!$D:$AM, 10, FALSE), 1)</f>
        <v>6.4975587628923748</v>
      </c>
      <c r="S14" s="7">
        <f>$B14 * IFERROR(VLOOKUP("buildings|PM25|Minor restricted activity days", US_national_yearly!$D:$AM, 27, FALSE) / VLOOKUP("buildings|PM25|Minor restricted activity days", US_national_yearly!$D:$AM, 10, FALSE), 1)</f>
        <v>6.5480923028208693</v>
      </c>
      <c r="T14" s="7">
        <f>$B14 * IFERROR(VLOOKUP("buildings|PM25|Minor restricted activity days", US_national_yearly!$D:$AM, 28, FALSE) / VLOOKUP("buildings|PM25|Minor restricted activity days", US_national_yearly!$D:$AM, 10, FALSE), 1)</f>
        <v>6.598625842749362</v>
      </c>
      <c r="U14" s="7">
        <f>$B14 * IFERROR(VLOOKUP("buildings|PM25|Minor restricted activity days", US_national_yearly!$D:$AM, 29, FALSE) / VLOOKUP("buildings|PM25|Minor restricted activity days", US_national_yearly!$D:$AM, 10, FALSE), 1)</f>
        <v>6.6491593826778566</v>
      </c>
      <c r="V14" s="7">
        <f>$B14 * IFERROR(VLOOKUP("buildings|PM25|Minor restricted activity days", US_national_yearly!$D:$AM, 30, FALSE) / VLOOKUP("buildings|PM25|Minor restricted activity days", US_national_yearly!$D:$AM, 10, FALSE), 1)</f>
        <v>6.6996929226063493</v>
      </c>
      <c r="W14" s="7">
        <f>$B14 * IFERROR(VLOOKUP("buildings|PM25|Minor restricted activity days", US_national_yearly!$D:$AM, 31, FALSE) / VLOOKUP("buildings|PM25|Minor restricted activity days", US_national_yearly!$D:$AM, 10, FALSE), 1)</f>
        <v>6.7502264625348438</v>
      </c>
      <c r="X14" s="7">
        <f>$B14 * IFERROR(VLOOKUP("buildings|PM25|Minor restricted activity days", US_national_yearly!$D:$AM, 32, FALSE) / VLOOKUP("buildings|PM25|Minor restricted activity days", US_national_yearly!$D:$AM, 10, FALSE), 1)</f>
        <v>6.7941050177553963</v>
      </c>
      <c r="Y14" s="7">
        <f>$B14 * IFERROR(VLOOKUP("buildings|PM25|Minor restricted activity days", US_national_yearly!$D:$AM, 33, FALSE) / VLOOKUP("buildings|PM25|Minor restricted activity days", US_national_yearly!$D:$AM, 10, FALSE), 1)</f>
        <v>6.8379835729759471</v>
      </c>
      <c r="Z14" s="7">
        <f>$B14 * IFERROR(VLOOKUP("buildings|PM25|Minor restricted activity days", US_national_yearly!$D:$AM, 34, FALSE) / VLOOKUP("buildings|PM25|Minor restricted activity days", US_national_yearly!$D:$AM, 10, FALSE), 1)</f>
        <v>6.8818621281964969</v>
      </c>
      <c r="AA14" s="7">
        <f>$B14 * IFERROR(VLOOKUP("buildings|PM25|Minor restricted activity days", US_national_yearly!$D:$AM, 35, FALSE) / VLOOKUP("buildings|PM25|Minor restricted activity days", US_national_yearly!$D:$AM, 10, FALSE), 1)</f>
        <v>6.9257406834170485</v>
      </c>
      <c r="AB14" s="7">
        <f>$B14 * IFERROR(VLOOKUP("buildings|PM25|Minor restricted activity days", US_national_yearly!$D:$AM, 36, FALSE) / VLOOKUP("buildings|PM25|Minor restricted activity days", US_national_yearly!$D:$AM, 10, FALSE), 1)</f>
        <v>6.9696192386375992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1.0133477396132662</v>
      </c>
      <c r="C15" s="7">
        <f>$B15 * IFERROR(VLOOKUP("buildings|PM25|Work loss days", US_national_yearly!$D:$AM, 11, FALSE) / VLOOKUP("buildings|PM25|Work loss days", US_national_yearly!$D:$AM, 10, FALSE), 1)</f>
        <v>1.0165278433588665</v>
      </c>
      <c r="D15" s="7">
        <f>$B15 * IFERROR(VLOOKUP("buildings|PM25|Work loss days", US_national_yearly!$D:$AM, 12, FALSE) / VLOOKUP("buildings|PM25|Work loss days", US_national_yearly!$D:$AM, 10, FALSE), 1)</f>
        <v>1.0197079471044665</v>
      </c>
      <c r="E15" s="7">
        <f>$B15 * IFERROR(VLOOKUP("buildings|PM25|Work loss days", US_national_yearly!$D:$AM, 13, FALSE) / VLOOKUP("buildings|PM25|Work loss days", US_national_yearly!$D:$AM, 10, FALSE), 1)</f>
        <v>1.0228880508500666</v>
      </c>
      <c r="F15" s="7">
        <f>$B15 * IFERROR(VLOOKUP("buildings|PM25|Work loss days", US_national_yearly!$D:$AM, 14, FALSE) / VLOOKUP("buildings|PM25|Work loss days", US_national_yearly!$D:$AM, 10, FALSE), 1)</f>
        <v>1.0260681545956667</v>
      </c>
      <c r="G15" s="7">
        <f>$B15 * IFERROR(VLOOKUP("buildings|PM25|Work loss days", US_national_yearly!$D:$AM, 15, FALSE) / VLOOKUP("buildings|PM25|Work loss days", US_national_yearly!$D:$AM, 10, FALSE), 1)</f>
        <v>1.0302248351734207</v>
      </c>
      <c r="H15" s="7">
        <f>$B15 * IFERROR(VLOOKUP("buildings|PM25|Work loss days", US_national_yearly!$D:$AM, 16, FALSE) / VLOOKUP("buildings|PM25|Work loss days", US_national_yearly!$D:$AM, 10, FALSE), 1)</f>
        <v>1.0343815157511747</v>
      </c>
      <c r="I15" s="7">
        <f>$B15 * IFERROR(VLOOKUP("buildings|PM25|Work loss days", US_national_yearly!$D:$AM, 17, FALSE) / VLOOKUP("buildings|PM25|Work loss days", US_national_yearly!$D:$AM, 10, FALSE), 1)</f>
        <v>1.0404862924573521</v>
      </c>
      <c r="J15" s="7">
        <f>$B15 * IFERROR(VLOOKUP("buildings|PM25|Work loss days", US_national_yearly!$D:$AM, 18, FALSE) / VLOOKUP("buildings|PM25|Work loss days", US_national_yearly!$D:$AM, 10, FALSE), 1)</f>
        <v>1.0465910691635296</v>
      </c>
      <c r="K15" s="7">
        <f>$B15 * IFERROR(VLOOKUP("buildings|PM25|Work loss days", US_national_yearly!$D:$AM, 19, FALSE) / VLOOKUP("buildings|PM25|Work loss days", US_national_yearly!$D:$AM, 10, FALSE), 1)</f>
        <v>1.0526958458697071</v>
      </c>
      <c r="L15" s="7">
        <f>$B15 * IFERROR(VLOOKUP("buildings|PM25|Work loss days", US_national_yearly!$D:$AM, 20, FALSE) / VLOOKUP("buildings|PM25|Work loss days", US_national_yearly!$D:$AM, 10, FALSE), 1)</f>
        <v>1.0588006225758846</v>
      </c>
      <c r="M15" s="7">
        <f>$B15 * IFERROR(VLOOKUP("buildings|PM25|Work loss days", US_national_yearly!$D:$AM, 21, FALSE) / VLOOKUP("buildings|PM25|Work loss days", US_national_yearly!$D:$AM, 10, FALSE), 1)</f>
        <v>1.0649053992820623</v>
      </c>
      <c r="N15" s="7">
        <f>$B15 * IFERROR(VLOOKUP("buildings|PM25|Work loss days", US_national_yearly!$D:$AM, 22, FALSE) / VLOOKUP("buildings|PM25|Work loss days", US_national_yearly!$D:$AM, 10, FALSE), 1)</f>
        <v>1.07258072398306</v>
      </c>
      <c r="O15" s="7">
        <f>$B15 * IFERROR(VLOOKUP("buildings|PM25|Work loss days", US_national_yearly!$D:$AM, 23, FALSE) / VLOOKUP("buildings|PM25|Work loss days", US_national_yearly!$D:$AM, 10, FALSE), 1)</f>
        <v>1.0802560486840582</v>
      </c>
      <c r="P15" s="7">
        <f>$B15 * IFERROR(VLOOKUP("buildings|PM25|Work loss days", US_national_yearly!$D:$AM, 24, FALSE) / VLOOKUP("buildings|PM25|Work loss days", US_national_yearly!$D:$AM, 10, FALSE), 1)</f>
        <v>1.087931373385056</v>
      </c>
      <c r="Q15" s="7">
        <f>$B15 * IFERROR(VLOOKUP("buildings|PM25|Work loss days", US_national_yearly!$D:$AM, 25, FALSE) / VLOOKUP("buildings|PM25|Work loss days", US_national_yearly!$D:$AM, 10, FALSE), 1)</f>
        <v>1.0956066980860537</v>
      </c>
      <c r="R15" s="7">
        <f>$B15 * IFERROR(VLOOKUP("buildings|PM25|Work loss days", US_national_yearly!$D:$AM, 26, FALSE) / VLOOKUP("buildings|PM25|Work loss days", US_national_yearly!$D:$AM, 10, FALSE), 1)</f>
        <v>1.1032820227870519</v>
      </c>
      <c r="S15" s="7">
        <f>$B15 * IFERROR(VLOOKUP("buildings|PM25|Work loss days", US_national_yearly!$D:$AM, 27, FALSE) / VLOOKUP("buildings|PM25|Work loss days", US_national_yearly!$D:$AM, 10, FALSE), 1)</f>
        <v>1.1117603728348322</v>
      </c>
      <c r="T15" s="7">
        <f>$B15 * IFERROR(VLOOKUP("buildings|PM25|Work loss days", US_national_yearly!$D:$AM, 28, FALSE) / VLOOKUP("buildings|PM25|Work loss days", US_national_yearly!$D:$AM, 10, FALSE), 1)</f>
        <v>1.1202387228826127</v>
      </c>
      <c r="U15" s="7">
        <f>$B15 * IFERROR(VLOOKUP("buildings|PM25|Work loss days", US_national_yearly!$D:$AM, 29, FALSE) / VLOOKUP("buildings|PM25|Work loss days", US_national_yearly!$D:$AM, 10, FALSE), 1)</f>
        <v>1.1287170729303935</v>
      </c>
      <c r="V15" s="7">
        <f>$B15 * IFERROR(VLOOKUP("buildings|PM25|Work loss days", US_national_yearly!$D:$AM, 30, FALSE) / VLOOKUP("buildings|PM25|Work loss days", US_national_yearly!$D:$AM, 10, FALSE), 1)</f>
        <v>1.1371954229781738</v>
      </c>
      <c r="W15" s="7">
        <f>$B15 * IFERROR(VLOOKUP("buildings|PM25|Work loss days", US_national_yearly!$D:$AM, 31, FALSE) / VLOOKUP("buildings|PM25|Work loss days", US_national_yearly!$D:$AM, 10, FALSE), 1)</f>
        <v>1.1456737730259543</v>
      </c>
      <c r="X15" s="7">
        <f>$B15 * IFERROR(VLOOKUP("buildings|PM25|Work loss days", US_national_yearly!$D:$AM, 32, FALSE) / VLOOKUP("buildings|PM25|Work loss days", US_national_yearly!$D:$AM, 10, FALSE), 1)</f>
        <v>1.1531975006268143</v>
      </c>
      <c r="Y15" s="7">
        <f>$B15 * IFERROR(VLOOKUP("buildings|PM25|Work loss days", US_national_yearly!$D:$AM, 33, FALSE) / VLOOKUP("buildings|PM25|Work loss days", US_national_yearly!$D:$AM, 10, FALSE), 1)</f>
        <v>1.1607212282276742</v>
      </c>
      <c r="Z15" s="7">
        <f>$B15 * IFERROR(VLOOKUP("buildings|PM25|Work loss days", US_national_yearly!$D:$AM, 34, FALSE) / VLOOKUP("buildings|PM25|Work loss days", US_national_yearly!$D:$AM, 10, FALSE), 1)</f>
        <v>1.1682449558285342</v>
      </c>
      <c r="AA15" s="7">
        <f>$B15 * IFERROR(VLOOKUP("buildings|PM25|Work loss days", US_national_yearly!$D:$AM, 35, FALSE) / VLOOKUP("buildings|PM25|Work loss days", US_national_yearly!$D:$AM, 10, FALSE), 1)</f>
        <v>1.1757686834293941</v>
      </c>
      <c r="AB15" s="7">
        <f>$B15 * IFERROR(VLOOKUP("buildings|PM25|Work loss days", US_national_yearly!$D:$AM, 36, FALSE) / VLOOKUP("buildings|PM25|Work loss days", US_national_yearly!$D:$AM, 10, FALSE), 1)</f>
        <v>1.1832924110302541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2.2692994763608056E-3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2.3371205472875224E-3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2.4049416182142396E-3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2.472762689140956E-3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2.5405837600676728E-3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2.6055666121766311E-3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2.6705494642855899E-3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2.7261807646401662E-3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2.7818120649947425E-3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2.8374433653493192E-3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2.8930746657038959E-3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2.9487059660584726E-3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2.9858538113480158E-3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3.0230016566375599E-3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3.060149501927103E-3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3.0972973472166471E-3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3.1344451925061903E-3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3.1541843108159229E-3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3.1739234291256547E-3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3.1936625474353873E-3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3.2134016657451195E-3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3.2331407840548521E-3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3.2464875171140839E-3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3.2598342501733149E-3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3.2731809832325467E-3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3.2865277162917777E-3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3.299874449351009E-3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9.8127911839657102E-4</v>
      </c>
      <c r="C2" s="7">
        <f>$B2 * IFERROR(VLOOKUP("buildings|NOx|Premature mortality", US_national_yearly!$D:$AM, 11, FALSE) / VLOOKUP("buildings|NOx|Premature mortality", US_national_yearly!$D:$AM, 10, FALSE), 1)</f>
        <v>9.957124428037578E-4</v>
      </c>
      <c r="D2" s="7">
        <f>$B2 * IFERROR(VLOOKUP("buildings|NOx|Premature mortality", US_national_yearly!$D:$AM, 12, FALSE) / VLOOKUP("buildings|NOx|Premature mortality", US_national_yearly!$D:$AM, 10, FALSE), 1)</f>
        <v>1.0101457672109446E-3</v>
      </c>
      <c r="E2" s="7">
        <f>$B2 * IFERROR(VLOOKUP("buildings|NOx|Premature mortality", US_national_yearly!$D:$AM, 13, FALSE) / VLOOKUP("buildings|NOx|Premature mortality", US_national_yearly!$D:$AM, 10, FALSE), 1)</f>
        <v>1.0245790916181313E-3</v>
      </c>
      <c r="F2" s="7">
        <f>$B2 * IFERROR(VLOOKUP("buildings|NOx|Premature mortality", US_national_yearly!$D:$AM, 14, FALSE) / VLOOKUP("buildings|NOx|Premature mortality", US_national_yearly!$D:$AM, 10, FALSE), 1)</f>
        <v>1.0390124160253179E-3</v>
      </c>
      <c r="G2" s="7">
        <f>$B2 * IFERROR(VLOOKUP("buildings|NOx|Premature mortality", US_national_yearly!$D:$AM, 15, FALSE) / VLOOKUP("buildings|NOx|Premature mortality", US_national_yearly!$D:$AM, 10, FALSE), 1)</f>
        <v>1.0649254635445406E-3</v>
      </c>
      <c r="H2" s="7">
        <f>$B2 * IFERROR(VLOOKUP("buildings|NOx|Premature mortality", US_national_yearly!$D:$AM, 16, FALSE) / VLOOKUP("buildings|NOx|Premature mortality", US_national_yearly!$D:$AM, 10, FALSE), 1)</f>
        <v>1.0908385110637636E-3</v>
      </c>
      <c r="I2" s="7">
        <f>$B2 * IFERROR(VLOOKUP("buildings|NOx|Premature mortality", US_national_yearly!$D:$AM, 17, FALSE) / VLOOKUP("buildings|NOx|Premature mortality", US_national_yearly!$D:$AM, 10, FALSE), 1)</f>
        <v>1.1075849182511264E-3</v>
      </c>
      <c r="J2" s="7">
        <f>$B2 * IFERROR(VLOOKUP("buildings|NOx|Premature mortality", US_national_yearly!$D:$AM, 18, FALSE) / VLOOKUP("buildings|NOx|Premature mortality", US_national_yearly!$D:$AM, 10, FALSE), 1)</f>
        <v>1.124331325438489E-3</v>
      </c>
      <c r="K2" s="7">
        <f>$B2 * IFERROR(VLOOKUP("buildings|NOx|Premature mortality", US_national_yearly!$D:$AM, 19, FALSE) / VLOOKUP("buildings|NOx|Premature mortality", US_national_yearly!$D:$AM, 10, FALSE), 1)</f>
        <v>1.141077732625852E-3</v>
      </c>
      <c r="L2" s="7">
        <f>$B2 * IFERROR(VLOOKUP("buildings|NOx|Premature mortality", US_national_yearly!$D:$AM, 20, FALSE) / VLOOKUP("buildings|NOx|Premature mortality", US_national_yearly!$D:$AM, 10, FALSE), 1)</f>
        <v>1.1578241398132148E-3</v>
      </c>
      <c r="M2" s="7">
        <f>$B2 * IFERROR(VLOOKUP("buildings|NOx|Premature mortality", US_national_yearly!$D:$AM, 21, FALSE) / VLOOKUP("buildings|NOx|Premature mortality", US_national_yearly!$D:$AM, 10, FALSE), 1)</f>
        <v>1.1745705470005776E-3</v>
      </c>
      <c r="N2" s="7">
        <f>$B2 * IFERROR(VLOOKUP("buildings|NOx|Premature mortality", US_national_yearly!$D:$AM, 22, FALSE) / VLOOKUP("buildings|NOx|Premature mortality", US_national_yearly!$D:$AM, 10, FALSE), 1)</f>
        <v>1.186978995464285E-3</v>
      </c>
      <c r="O2" s="7">
        <f>$B2 * IFERROR(VLOOKUP("buildings|NOx|Premature mortality", US_national_yearly!$D:$AM, 23, FALSE) / VLOOKUP("buildings|NOx|Premature mortality", US_national_yearly!$D:$AM, 10, FALSE), 1)</f>
        <v>1.1993874439279926E-3</v>
      </c>
      <c r="P2" s="7">
        <f>$B2 * IFERROR(VLOOKUP("buildings|NOx|Premature mortality", US_national_yearly!$D:$AM, 24, FALSE) / VLOOKUP("buildings|NOx|Premature mortality", US_national_yearly!$D:$AM, 10, FALSE), 1)</f>
        <v>1.2117958923917001E-3</v>
      </c>
      <c r="Q2" s="7">
        <f>$B2 * IFERROR(VLOOKUP("buildings|NOx|Premature mortality", US_national_yearly!$D:$AM, 25, FALSE) / VLOOKUP("buildings|NOx|Premature mortality", US_national_yearly!$D:$AM, 10, FALSE), 1)</f>
        <v>1.2242043408554075E-3</v>
      </c>
      <c r="R2" s="7">
        <f>$B2 * IFERROR(VLOOKUP("buildings|NOx|Premature mortality", US_national_yearly!$D:$AM, 26, FALSE) / VLOOKUP("buildings|NOx|Premature mortality", US_national_yearly!$D:$AM, 10, FALSE), 1)</f>
        <v>1.2366127893191148E-3</v>
      </c>
      <c r="S2" s="7">
        <f>$B2 * IFERROR(VLOOKUP("buildings|NOx|Premature mortality", US_national_yearly!$D:$AM, 27, FALSE) / VLOOKUP("buildings|NOx|Premature mortality", US_national_yearly!$D:$AM, 10, FALSE), 1)</f>
        <v>1.242254159202298E-3</v>
      </c>
      <c r="T2" s="7">
        <f>$B2 * IFERROR(VLOOKUP("buildings|NOx|Premature mortality", US_national_yearly!$D:$AM, 28, FALSE) / VLOOKUP("buildings|NOx|Premature mortality", US_national_yearly!$D:$AM, 10, FALSE), 1)</f>
        <v>1.2478955290854809E-3</v>
      </c>
      <c r="U2" s="7">
        <f>$B2 * IFERROR(VLOOKUP("buildings|NOx|Premature mortality", US_national_yearly!$D:$AM, 29, FALSE) / VLOOKUP("buildings|NOx|Premature mortality", US_national_yearly!$D:$AM, 10, FALSE), 1)</f>
        <v>1.2535368989686638E-3</v>
      </c>
      <c r="V2" s="7">
        <f>$B2 * IFERROR(VLOOKUP("buildings|NOx|Premature mortality", US_national_yearly!$D:$AM, 30, FALSE) / VLOOKUP("buildings|NOx|Premature mortality", US_national_yearly!$D:$AM, 10, FALSE), 1)</f>
        <v>1.2591782688518469E-3</v>
      </c>
      <c r="W2" s="7">
        <f>$B2 * IFERROR(VLOOKUP("buildings|NOx|Premature mortality", US_national_yearly!$D:$AM, 31, FALSE) / VLOOKUP("buildings|NOx|Premature mortality", US_national_yearly!$D:$AM, 10, FALSE), 1)</f>
        <v>1.2648196387350299E-3</v>
      </c>
      <c r="X2" s="7">
        <f>$B2 * IFERROR(VLOOKUP("buildings|NOx|Premature mortality", US_national_yearly!$D:$AM, 32, FALSE) / VLOOKUP("buildings|NOx|Premature mortality", US_national_yearly!$D:$AM, 10, FALSE), 1)</f>
        <v>1.2650183231836479E-3</v>
      </c>
      <c r="Y2" s="7">
        <f>$B2 * IFERROR(VLOOKUP("buildings|NOx|Premature mortality", US_national_yearly!$D:$AM, 33, FALSE) / VLOOKUP("buildings|NOx|Premature mortality", US_national_yearly!$D:$AM, 10, FALSE), 1)</f>
        <v>1.265217007632266E-3</v>
      </c>
      <c r="Z2" s="7">
        <f>$B2 * IFERROR(VLOOKUP("buildings|NOx|Premature mortality", US_national_yearly!$D:$AM, 34, FALSE) / VLOOKUP("buildings|NOx|Premature mortality", US_national_yearly!$D:$AM, 10, FALSE), 1)</f>
        <v>1.2654156920808843E-3</v>
      </c>
      <c r="AA2" s="7">
        <f>$B2 * IFERROR(VLOOKUP("buildings|NOx|Premature mortality", US_national_yearly!$D:$AM, 35, FALSE) / VLOOKUP("buildings|NOx|Premature mortality", US_national_yearly!$D:$AM, 10, FALSE), 1)</f>
        <v>1.2656143765295022E-3</v>
      </c>
      <c r="AB2" s="7">
        <f>$B2 * IFERROR(VLOOKUP("buildings|NOx|Premature mortality", US_national_yearly!$D:$AM, 36, FALSE) / VLOOKUP("buildings|NOx|Premature mortality", US_national_yearly!$D:$AM, 10, FALSE), 1)</f>
        <v>1.2658130609781205E-3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2.5600821515189347E-6</v>
      </c>
      <c r="C3" s="7">
        <f>$B3 * IFERROR(VLOOKUP("buildings|NOx|Infant mortality", US_national_yearly!$D:$AM, 11, FALSE) / VLOOKUP("buildings|NOx|Infant mortality", US_national_yearly!$D:$AM, 10, FALSE), 1)</f>
        <v>2.5357643756855211E-6</v>
      </c>
      <c r="D3" s="7">
        <f>$B3 * IFERROR(VLOOKUP("buildings|NOx|Infant mortality", US_national_yearly!$D:$AM, 12, FALSE) / VLOOKUP("buildings|NOx|Infant mortality", US_national_yearly!$D:$AM, 10, FALSE), 1)</f>
        <v>2.511446599852107E-6</v>
      </c>
      <c r="E3" s="7">
        <f>$B3 * IFERROR(VLOOKUP("buildings|NOx|Infant mortality", US_national_yearly!$D:$AM, 13, FALSE) / VLOOKUP("buildings|NOx|Infant mortality", US_national_yearly!$D:$AM, 10, FALSE), 1)</f>
        <v>2.4871288240186938E-6</v>
      </c>
      <c r="F3" s="7">
        <f>$B3 * IFERROR(VLOOKUP("buildings|NOx|Infant mortality", US_national_yearly!$D:$AM, 14, FALSE) / VLOOKUP("buildings|NOx|Infant mortality", US_national_yearly!$D:$AM, 10, FALSE), 1)</f>
        <v>2.4628110481852798E-6</v>
      </c>
      <c r="G3" s="7">
        <f>$B3 * IFERROR(VLOOKUP("buildings|NOx|Infant mortality", US_national_yearly!$D:$AM, 15, FALSE) / VLOOKUP("buildings|NOx|Infant mortality", US_national_yearly!$D:$AM, 10, FALSE), 1)</f>
        <v>1.6346599177853018E-6</v>
      </c>
      <c r="H3" s="7">
        <f>$B3 * IFERROR(VLOOKUP("buildings|NOx|Infant mortality", US_national_yearly!$D:$AM, 16, FALSE) / VLOOKUP("buildings|NOx|Infant mortality", US_national_yearly!$D:$AM, 10, FALSE), 1)</f>
        <v>8.06508787385324E-7</v>
      </c>
      <c r="I3" s="7">
        <f>$B3 * IFERROR(VLOOKUP("buildings|NOx|Infant mortality", US_national_yearly!$D:$AM, 17, FALSE) / VLOOKUP("buildings|NOx|Infant mortality", US_national_yearly!$D:$AM, 10, FALSE), 1)</f>
        <v>8.0081115897567137E-7</v>
      </c>
      <c r="J3" s="7">
        <f>$B3 * IFERROR(VLOOKUP("buildings|NOx|Infant mortality", US_national_yearly!$D:$AM, 18, FALSE) / VLOOKUP("buildings|NOx|Infant mortality", US_national_yearly!$D:$AM, 10, FALSE), 1)</f>
        <v>7.9511353056601873E-7</v>
      </c>
      <c r="K3" s="7">
        <f>$B3 * IFERROR(VLOOKUP("buildings|NOx|Infant mortality", US_national_yearly!$D:$AM, 19, FALSE) / VLOOKUP("buildings|NOx|Infant mortality", US_national_yearly!$D:$AM, 10, FALSE), 1)</f>
        <v>7.8941590215636609E-7</v>
      </c>
      <c r="L3" s="7">
        <f>$B3 * IFERROR(VLOOKUP("buildings|NOx|Infant mortality", US_national_yearly!$D:$AM, 20, FALSE) / VLOOKUP("buildings|NOx|Infant mortality", US_national_yearly!$D:$AM, 10, FALSE), 1)</f>
        <v>7.8371827374671356E-7</v>
      </c>
      <c r="M3" s="7">
        <f>$B3 * IFERROR(VLOOKUP("buildings|NOx|Infant mortality", US_national_yearly!$D:$AM, 21, FALSE) / VLOOKUP("buildings|NOx|Infant mortality", US_national_yearly!$D:$AM, 10, FALSE), 1)</f>
        <v>7.7802064533706092E-7</v>
      </c>
      <c r="N3" s="7">
        <f>$B3 * IFERROR(VLOOKUP("buildings|NOx|Infant mortality", US_national_yearly!$D:$AM, 22, FALSE) / VLOOKUP("buildings|NOx|Infant mortality", US_national_yearly!$D:$AM, 10, FALSE), 1)</f>
        <v>7.74245145999782E-7</v>
      </c>
      <c r="O3" s="7">
        <f>$B3 * IFERROR(VLOOKUP("buildings|NOx|Infant mortality", US_national_yearly!$D:$AM, 23, FALSE) / VLOOKUP("buildings|NOx|Infant mortality", US_national_yearly!$D:$AM, 10, FALSE), 1)</f>
        <v>7.704696466625032E-7</v>
      </c>
      <c r="P3" s="7">
        <f>$B3 * IFERROR(VLOOKUP("buildings|NOx|Infant mortality", US_national_yearly!$D:$AM, 24, FALSE) / VLOOKUP("buildings|NOx|Infant mortality", US_national_yearly!$D:$AM, 10, FALSE), 1)</f>
        <v>7.6669414732522428E-7</v>
      </c>
      <c r="Q3" s="7">
        <f>$B3 * IFERROR(VLOOKUP("buildings|NOx|Infant mortality", US_national_yearly!$D:$AM, 25, FALSE) / VLOOKUP("buildings|NOx|Infant mortality", US_national_yearly!$D:$AM, 10, FALSE), 1)</f>
        <v>7.6291864798794558E-7</v>
      </c>
      <c r="R3" s="7">
        <f>$B3 * IFERROR(VLOOKUP("buildings|NOx|Infant mortality", US_national_yearly!$D:$AM, 26, FALSE) / VLOOKUP("buildings|NOx|Infant mortality", US_national_yearly!$D:$AM, 10, FALSE), 1)</f>
        <v>7.5914314865066667E-7</v>
      </c>
      <c r="S3" s="7">
        <f>$B3 * IFERROR(VLOOKUP("buildings|NOx|Infant mortality", US_national_yearly!$D:$AM, 27, FALSE) / VLOOKUP("buildings|NOx|Infant mortality", US_national_yearly!$D:$AM, 10, FALSE), 1)</f>
        <v>7.5460146408086757E-7</v>
      </c>
      <c r="T3" s="7">
        <f>$B3 * IFERROR(VLOOKUP("buildings|NOx|Infant mortality", US_national_yearly!$D:$AM, 28, FALSE) / VLOOKUP("buildings|NOx|Infant mortality", US_national_yearly!$D:$AM, 10, FALSE), 1)</f>
        <v>7.5005977951106858E-7</v>
      </c>
      <c r="U3" s="7">
        <f>$B3 * IFERROR(VLOOKUP("buildings|NOx|Infant mortality", US_national_yearly!$D:$AM, 29, FALSE) / VLOOKUP("buildings|NOx|Infant mortality", US_national_yearly!$D:$AM, 10, FALSE), 1)</f>
        <v>7.4551809494126938E-7</v>
      </c>
      <c r="V3" s="7">
        <f>$B3 * IFERROR(VLOOKUP("buildings|NOx|Infant mortality", US_national_yearly!$D:$AM, 30, FALSE) / VLOOKUP("buildings|NOx|Infant mortality", US_national_yearly!$D:$AM, 10, FALSE), 1)</f>
        <v>7.4097641037147028E-7</v>
      </c>
      <c r="W3" s="7">
        <f>$B3 * IFERROR(VLOOKUP("buildings|NOx|Infant mortality", US_national_yearly!$D:$AM, 31, FALSE) / VLOOKUP("buildings|NOx|Infant mortality", US_national_yearly!$D:$AM, 10, FALSE), 1)</f>
        <v>7.3643472580167129E-7</v>
      </c>
      <c r="X3" s="7">
        <f>$B3 * IFERROR(VLOOKUP("buildings|NOx|Infant mortality", US_national_yearly!$D:$AM, 32, FALSE) / VLOOKUP("buildings|NOx|Infant mortality", US_national_yearly!$D:$AM, 10, FALSE), 1)</f>
        <v>7.3162922547483432E-7</v>
      </c>
      <c r="Y3" s="7">
        <f>$B3 * IFERROR(VLOOKUP("buildings|NOx|Infant mortality", US_national_yearly!$D:$AM, 33, FALSE) / VLOOKUP("buildings|NOx|Infant mortality", US_national_yearly!$D:$AM, 10, FALSE), 1)</f>
        <v>7.2682372514799747E-7</v>
      </c>
      <c r="Z3" s="7">
        <f>$B3 * IFERROR(VLOOKUP("buildings|NOx|Infant mortality", US_national_yearly!$D:$AM, 34, FALSE) / VLOOKUP("buildings|NOx|Infant mortality", US_national_yearly!$D:$AM, 10, FALSE), 1)</f>
        <v>7.220182248211604E-7</v>
      </c>
      <c r="AA3" s="7">
        <f>$B3 * IFERROR(VLOOKUP("buildings|NOx|Infant mortality", US_national_yearly!$D:$AM, 35, FALSE) / VLOOKUP("buildings|NOx|Infant mortality", US_national_yearly!$D:$AM, 10, FALSE), 1)</f>
        <v>7.1721272449432343E-7</v>
      </c>
      <c r="AB3" s="7">
        <f>$B3 * IFERROR(VLOOKUP("buildings|NOx|Infant mortality", US_national_yearly!$D:$AM, 36, FALSE) / VLOOKUP("buildings|NOx|Infant mortality", US_national_yearly!$D:$AM, 10, FALSE), 1)</f>
        <v>7.1240722416748637E-7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2.3756688232586653E-3</v>
      </c>
      <c r="C6" s="7">
        <f>$B6 * IFERROR(VLOOKUP("buildings|NOx|Asthma symptoms cough", US_national_yearly!$D:$AM, 11, FALSE) / VLOOKUP("buildings|NOx|Asthma symptoms cough", US_national_yearly!$D:$AM, 10, FALSE), 1)</f>
        <v>2.4081804981932226E-3</v>
      </c>
      <c r="D6" s="7">
        <f>$B6 * IFERROR(VLOOKUP("buildings|NOx|Asthma symptoms cough", US_national_yearly!$D:$AM, 12, FALSE) / VLOOKUP("buildings|NOx|Asthma symptoms cough", US_national_yearly!$D:$AM, 10, FALSE), 1)</f>
        <v>2.4406921731277803E-3</v>
      </c>
      <c r="E6" s="7">
        <f>$B6 * IFERROR(VLOOKUP("buildings|NOx|Asthma symptoms cough", US_national_yearly!$D:$AM, 13, FALSE) / VLOOKUP("buildings|NOx|Asthma symptoms cough", US_national_yearly!$D:$AM, 10, FALSE), 1)</f>
        <v>2.4732038480623371E-3</v>
      </c>
      <c r="F6" s="7">
        <f>$B6 * IFERROR(VLOOKUP("buildings|NOx|Asthma symptoms cough", US_national_yearly!$D:$AM, 14, FALSE) / VLOOKUP("buildings|NOx|Asthma symptoms cough", US_national_yearly!$D:$AM, 10, FALSE), 1)</f>
        <v>2.5057155229968944E-3</v>
      </c>
      <c r="G6" s="7">
        <f>$B6 * IFERROR(VLOOKUP("buildings|NOx|Asthma symptoms cough", US_national_yearly!$D:$AM, 15, FALSE) / VLOOKUP("buildings|NOx|Asthma symptoms cough", US_national_yearly!$D:$AM, 10, FALSE), 1)</f>
        <v>2.5316984432947284E-3</v>
      </c>
      <c r="H6" s="7">
        <f>$B6 * IFERROR(VLOOKUP("buildings|NOx|Asthma symptoms cough", US_national_yearly!$D:$AM, 16, FALSE) / VLOOKUP("buildings|NOx|Asthma symptoms cough", US_national_yearly!$D:$AM, 10, FALSE), 1)</f>
        <v>2.5576813635925623E-3</v>
      </c>
      <c r="I6" s="7">
        <f>$B6 * IFERROR(VLOOKUP("buildings|NOx|Asthma symptoms cough", US_national_yearly!$D:$AM, 17, FALSE) / VLOOKUP("buildings|NOx|Asthma symptoms cough", US_national_yearly!$D:$AM, 10, FALSE), 1)</f>
        <v>2.5666732849058222E-3</v>
      </c>
      <c r="J6" s="7">
        <f>$B6 * IFERROR(VLOOKUP("buildings|NOx|Asthma symptoms cough", US_national_yearly!$D:$AM, 18, FALSE) / VLOOKUP("buildings|NOx|Asthma symptoms cough", US_national_yearly!$D:$AM, 10, FALSE), 1)</f>
        <v>2.5756652062190817E-3</v>
      </c>
      <c r="K6" s="7">
        <f>$B6 * IFERROR(VLOOKUP("buildings|NOx|Asthma symptoms cough", US_national_yearly!$D:$AM, 19, FALSE) / VLOOKUP("buildings|NOx|Asthma symptoms cough", US_national_yearly!$D:$AM, 10, FALSE), 1)</f>
        <v>2.5846571275323412E-3</v>
      </c>
      <c r="L6" s="7">
        <f>$B6 * IFERROR(VLOOKUP("buildings|NOx|Asthma symptoms cough", US_national_yearly!$D:$AM, 20, FALSE) / VLOOKUP("buildings|NOx|Asthma symptoms cough", US_national_yearly!$D:$AM, 10, FALSE), 1)</f>
        <v>2.5936490488456007E-3</v>
      </c>
      <c r="M6" s="7">
        <f>$B6 * IFERROR(VLOOKUP("buildings|NOx|Asthma symptoms cough", US_national_yearly!$D:$AM, 21, FALSE) / VLOOKUP("buildings|NOx|Asthma symptoms cough", US_national_yearly!$D:$AM, 10, FALSE), 1)</f>
        <v>2.6026409701588602E-3</v>
      </c>
      <c r="N6" s="7">
        <f>$B6 * IFERROR(VLOOKUP("buildings|NOx|Asthma symptoms cough", US_national_yearly!$D:$AM, 22, FALSE) / VLOOKUP("buildings|NOx|Asthma symptoms cough", US_national_yearly!$D:$AM, 10, FALSE), 1)</f>
        <v>2.6130384394511415E-3</v>
      </c>
      <c r="O6" s="7">
        <f>$B6 * IFERROR(VLOOKUP("buildings|NOx|Asthma symptoms cough", US_national_yearly!$D:$AM, 23, FALSE) / VLOOKUP("buildings|NOx|Asthma symptoms cough", US_national_yearly!$D:$AM, 10, FALSE), 1)</f>
        <v>2.623435908743422E-3</v>
      </c>
      <c r="P6" s="7">
        <f>$B6 * IFERROR(VLOOKUP("buildings|NOx|Asthma symptoms cough", US_national_yearly!$D:$AM, 24, FALSE) / VLOOKUP("buildings|NOx|Asthma symptoms cough", US_national_yearly!$D:$AM, 10, FALSE), 1)</f>
        <v>2.6338333780357029E-3</v>
      </c>
      <c r="Q6" s="7">
        <f>$B6 * IFERROR(VLOOKUP("buildings|NOx|Asthma symptoms cough", US_national_yearly!$D:$AM, 25, FALSE) / VLOOKUP("buildings|NOx|Asthma symptoms cough", US_national_yearly!$D:$AM, 10, FALSE), 1)</f>
        <v>2.6442308473279843E-3</v>
      </c>
      <c r="R6" s="7">
        <f>$B6 * IFERROR(VLOOKUP("buildings|NOx|Asthma symptoms cough", US_national_yearly!$D:$AM, 26, FALSE) / VLOOKUP("buildings|NOx|Asthma symptoms cough", US_national_yearly!$D:$AM, 10, FALSE), 1)</f>
        <v>2.6546283166202648E-3</v>
      </c>
      <c r="S6" s="7">
        <f>$B6 * IFERROR(VLOOKUP("buildings|NOx|Asthma symptoms cough", US_national_yearly!$D:$AM, 27, FALSE) / VLOOKUP("buildings|NOx|Asthma symptoms cough", US_national_yearly!$D:$AM, 10, FALSE), 1)</f>
        <v>2.6682076318668142E-3</v>
      </c>
      <c r="T6" s="7">
        <f>$B6 * IFERROR(VLOOKUP("buildings|NOx|Asthma symptoms cough", US_national_yearly!$D:$AM, 28, FALSE) / VLOOKUP("buildings|NOx|Asthma symptoms cough", US_national_yearly!$D:$AM, 10, FALSE), 1)</f>
        <v>2.6817869471133632E-3</v>
      </c>
      <c r="U6" s="7">
        <f>$B6 * IFERROR(VLOOKUP("buildings|NOx|Asthma symptoms cough", US_national_yearly!$D:$AM, 29, FALSE) / VLOOKUP("buildings|NOx|Asthma symptoms cough", US_national_yearly!$D:$AM, 10, FALSE), 1)</f>
        <v>2.6953662623599123E-3</v>
      </c>
      <c r="V6" s="7">
        <f>$B6 * IFERROR(VLOOKUP("buildings|NOx|Asthma symptoms cough", US_national_yearly!$D:$AM, 30, FALSE) / VLOOKUP("buildings|NOx|Asthma symptoms cough", US_national_yearly!$D:$AM, 10, FALSE), 1)</f>
        <v>2.7089455776064622E-3</v>
      </c>
      <c r="W6" s="7">
        <f>$B6 * IFERROR(VLOOKUP("buildings|NOx|Asthma symptoms cough", US_national_yearly!$D:$AM, 31, FALSE) / VLOOKUP("buildings|NOx|Asthma symptoms cough", US_national_yearly!$D:$AM, 10, FALSE), 1)</f>
        <v>2.7225248928530112E-3</v>
      </c>
      <c r="X6" s="7">
        <f>$B6 * IFERROR(VLOOKUP("buildings|NOx|Asthma symptoms cough", US_national_yearly!$D:$AM, 32, FALSE) / VLOOKUP("buildings|NOx|Asthma symptoms cough", US_national_yearly!$D:$AM, 10, FALSE), 1)</f>
        <v>2.7351419452670118E-3</v>
      </c>
      <c r="Y6" s="7">
        <f>$B6 * IFERROR(VLOOKUP("buildings|NOx|Asthma symptoms cough", US_national_yearly!$D:$AM, 33, FALSE) / VLOOKUP("buildings|NOx|Asthma symptoms cough", US_national_yearly!$D:$AM, 10, FALSE), 1)</f>
        <v>2.7477589976810128E-3</v>
      </c>
      <c r="Z6" s="7">
        <f>$B6 * IFERROR(VLOOKUP("buildings|NOx|Asthma symptoms cough", US_national_yearly!$D:$AM, 34, FALSE) / VLOOKUP("buildings|NOx|Asthma symptoms cough", US_national_yearly!$D:$AM, 10, FALSE), 1)</f>
        <v>2.7603760500950142E-3</v>
      </c>
      <c r="AA6" s="7">
        <f>$B6 * IFERROR(VLOOKUP("buildings|NOx|Asthma symptoms cough", US_national_yearly!$D:$AM, 35, FALSE) / VLOOKUP("buildings|NOx|Asthma symptoms cough", US_national_yearly!$D:$AM, 10, FALSE), 1)</f>
        <v>2.7729931025090152E-3</v>
      </c>
      <c r="AB6" s="7">
        <f>$B6 * IFERROR(VLOOKUP("buildings|NOx|Asthma symptoms cough", US_national_yearly!$D:$AM, 36, FALSE) / VLOOKUP("buildings|NOx|Asthma symptoms cough", US_national_yearly!$D:$AM, 10, FALSE), 1)</f>
        <v>2.7856101549230163E-3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3.1991632237196401E-3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3.2429446437424931E-3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3.2867260637653457E-3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3.3305074837881986E-3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3.3742889038110512E-3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3.4092784620862412E-3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3.4442680203614312E-3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3.4563768729494867E-3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3.4684857255375418E-3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3.4805945781255982E-3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3.4927034307136538E-3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3.5048122833017097E-3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3.5188138986413237E-3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3.532815513980938E-3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3.5468171293205519E-3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3.5608187446601659E-3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3.5748203599997802E-3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3.5931067664586162E-3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3.6113931729174517E-3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3.6296795793762876E-3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3.6479659858351227E-3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3.6662523922939587E-3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3.6832429801418845E-3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3.70023356798981E-3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3.7172241558377358E-3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3.7342147436856604E-3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3.7512053315335867E-3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4.8878490121008183E-3</v>
      </c>
      <c r="C8" s="7">
        <f>$B8 * IFERROR(VLOOKUP("buildings|NOx|Asthma symptoms wheeze", US_national_yearly!$D:$AM, 11, FALSE) / VLOOKUP("buildings|NOx|Asthma symptoms wheeze", US_national_yearly!$D:$AM, 10, FALSE), 1)</f>
        <v>4.9547405572175412E-3</v>
      </c>
      <c r="D8" s="7">
        <f>$B8 * IFERROR(VLOOKUP("buildings|NOx|Asthma symptoms wheeze", US_national_yearly!$D:$AM, 12, FALSE) / VLOOKUP("buildings|NOx|Asthma symptoms wheeze", US_national_yearly!$D:$AM, 10, FALSE), 1)</f>
        <v>5.0216321023342633E-3</v>
      </c>
      <c r="E8" s="7">
        <f>$B8 * IFERROR(VLOOKUP("buildings|NOx|Asthma symptoms wheeze", US_national_yearly!$D:$AM, 13, FALSE) / VLOOKUP("buildings|NOx|Asthma symptoms wheeze", US_national_yearly!$D:$AM, 10, FALSE), 1)</f>
        <v>5.0885236474509854E-3</v>
      </c>
      <c r="F8" s="7">
        <f>$B8 * IFERROR(VLOOKUP("buildings|NOx|Asthma symptoms wheeze", US_national_yearly!$D:$AM, 14, FALSE) / VLOOKUP("buildings|NOx|Asthma symptoms wheeze", US_national_yearly!$D:$AM, 10, FALSE), 1)</f>
        <v>5.1554151925677092E-3</v>
      </c>
      <c r="G8" s="7">
        <f>$B8 * IFERROR(VLOOKUP("buildings|NOx|Asthma symptoms wheeze", US_national_yearly!$D:$AM, 15, FALSE) / VLOOKUP("buildings|NOx|Asthma symptoms wheeze", US_national_yearly!$D:$AM, 10, FALSE), 1)</f>
        <v>5.2088740712289746E-3</v>
      </c>
      <c r="H8" s="7">
        <f>$B8 * IFERROR(VLOOKUP("buildings|NOx|Asthma symptoms wheeze", US_national_yearly!$D:$AM, 16, FALSE) / VLOOKUP("buildings|NOx|Asthma symptoms wheeze", US_national_yearly!$D:$AM, 10, FALSE), 1)</f>
        <v>5.2623329498902383E-3</v>
      </c>
      <c r="I8" s="7">
        <f>$B8 * IFERROR(VLOOKUP("buildings|NOx|Asthma symptoms wheeze", US_national_yearly!$D:$AM, 17, FALSE) / VLOOKUP("buildings|NOx|Asthma symptoms wheeze", US_national_yearly!$D:$AM, 10, FALSE), 1)</f>
        <v>5.280833488897449E-3</v>
      </c>
      <c r="J8" s="7">
        <f>$B8 * IFERROR(VLOOKUP("buildings|NOx|Asthma symptoms wheeze", US_national_yearly!$D:$AM, 18, FALSE) / VLOOKUP("buildings|NOx|Asthma symptoms wheeze", US_national_yearly!$D:$AM, 10, FALSE), 1)</f>
        <v>5.2993340279046579E-3</v>
      </c>
      <c r="K8" s="7">
        <f>$B8 * IFERROR(VLOOKUP("buildings|NOx|Asthma symptoms wheeze", US_national_yearly!$D:$AM, 19, FALSE) / VLOOKUP("buildings|NOx|Asthma symptoms wheeze", US_national_yearly!$D:$AM, 10, FALSE), 1)</f>
        <v>5.3178345669118669E-3</v>
      </c>
      <c r="L8" s="7">
        <f>$B8 * IFERROR(VLOOKUP("buildings|NOx|Asthma symptoms wheeze", US_national_yearly!$D:$AM, 20, FALSE) / VLOOKUP("buildings|NOx|Asthma symptoms wheeze", US_national_yearly!$D:$AM, 10, FALSE), 1)</f>
        <v>5.3363351059190758E-3</v>
      </c>
      <c r="M8" s="7">
        <f>$B8 * IFERROR(VLOOKUP("buildings|NOx|Asthma symptoms wheeze", US_national_yearly!$D:$AM, 21, FALSE) / VLOOKUP("buildings|NOx|Asthma symptoms wheeze", US_national_yearly!$D:$AM, 10, FALSE), 1)</f>
        <v>5.3548356449262856E-3</v>
      </c>
      <c r="N8" s="7">
        <f>$B8 * IFERROR(VLOOKUP("buildings|NOx|Asthma symptoms wheeze", US_national_yearly!$D:$AM, 22, FALSE) / VLOOKUP("buildings|NOx|Asthma symptoms wheeze", US_national_yearly!$D:$AM, 10, FALSE), 1)</f>
        <v>5.3762280458964284E-3</v>
      </c>
      <c r="O8" s="7">
        <f>$B8 * IFERROR(VLOOKUP("buildings|NOx|Asthma symptoms wheeze", US_national_yearly!$D:$AM, 23, FALSE) / VLOOKUP("buildings|NOx|Asthma symptoms wheeze", US_national_yearly!$D:$AM, 10, FALSE), 1)</f>
        <v>5.3976204468665721E-3</v>
      </c>
      <c r="P8" s="7">
        <f>$B8 * IFERROR(VLOOKUP("buildings|NOx|Asthma symptoms wheeze", US_national_yearly!$D:$AM, 24, FALSE) / VLOOKUP("buildings|NOx|Asthma symptoms wheeze", US_national_yearly!$D:$AM, 10, FALSE), 1)</f>
        <v>5.4190128478367149E-3</v>
      </c>
      <c r="Q8" s="7">
        <f>$B8 * IFERROR(VLOOKUP("buildings|NOx|Asthma symptoms wheeze", US_national_yearly!$D:$AM, 25, FALSE) / VLOOKUP("buildings|NOx|Asthma symptoms wheeze", US_national_yearly!$D:$AM, 10, FALSE), 1)</f>
        <v>5.4404052488068585E-3</v>
      </c>
      <c r="R8" s="7">
        <f>$B8 * IFERROR(VLOOKUP("buildings|NOx|Asthma symptoms wheeze", US_national_yearly!$D:$AM, 26, FALSE) / VLOOKUP("buildings|NOx|Asthma symptoms wheeze", US_national_yearly!$D:$AM, 10, FALSE), 1)</f>
        <v>5.4617976497770013E-3</v>
      </c>
      <c r="S8" s="7">
        <f>$B8 * IFERROR(VLOOKUP("buildings|NOx|Asthma symptoms wheeze", US_national_yearly!$D:$AM, 27, FALSE) / VLOOKUP("buildings|NOx|Asthma symptoms wheeze", US_national_yearly!$D:$AM, 10, FALSE), 1)</f>
        <v>5.4897365788141288E-3</v>
      </c>
      <c r="T8" s="7">
        <f>$B8 * IFERROR(VLOOKUP("buildings|NOx|Asthma symptoms wheeze", US_national_yearly!$D:$AM, 28, FALSE) / VLOOKUP("buildings|NOx|Asthma symptoms wheeze", US_national_yearly!$D:$AM, 10, FALSE), 1)</f>
        <v>5.5176755078512572E-3</v>
      </c>
      <c r="U8" s="7">
        <f>$B8 * IFERROR(VLOOKUP("buildings|NOx|Asthma symptoms wheeze", US_national_yearly!$D:$AM, 29, FALSE) / VLOOKUP("buildings|NOx|Asthma symptoms wheeze", US_national_yearly!$D:$AM, 10, FALSE), 1)</f>
        <v>5.5456144368883848E-3</v>
      </c>
      <c r="V8" s="7">
        <f>$B8 * IFERROR(VLOOKUP("buildings|NOx|Asthma symptoms wheeze", US_national_yearly!$D:$AM, 30, FALSE) / VLOOKUP("buildings|NOx|Asthma symptoms wheeze", US_national_yearly!$D:$AM, 10, FALSE), 1)</f>
        <v>5.5735533659255132E-3</v>
      </c>
      <c r="W8" s="7">
        <f>$B8 * IFERROR(VLOOKUP("buildings|NOx|Asthma symptoms wheeze", US_national_yearly!$D:$AM, 31, FALSE) / VLOOKUP("buildings|NOx|Asthma symptoms wheeze", US_national_yearly!$D:$AM, 10, FALSE), 1)</f>
        <v>5.6014922949626407E-3</v>
      </c>
      <c r="X8" s="7">
        <f>$B8 * IFERROR(VLOOKUP("buildings|NOx|Asthma symptoms wheeze", US_national_yearly!$D:$AM, 32, FALSE) / VLOOKUP("buildings|NOx|Asthma symptoms wheeze", US_national_yearly!$D:$AM, 10, FALSE), 1)</f>
        <v>5.6274514045105391E-3</v>
      </c>
      <c r="Y8" s="7">
        <f>$B8 * IFERROR(VLOOKUP("buildings|NOx|Asthma symptoms wheeze", US_national_yearly!$D:$AM, 33, FALSE) / VLOOKUP("buildings|NOx|Asthma symptoms wheeze", US_national_yearly!$D:$AM, 10, FALSE), 1)</f>
        <v>5.6534105140584384E-3</v>
      </c>
      <c r="Z8" s="7">
        <f>$B8 * IFERROR(VLOOKUP("buildings|NOx|Asthma symptoms wheeze", US_national_yearly!$D:$AM, 34, FALSE) / VLOOKUP("buildings|NOx|Asthma symptoms wheeze", US_national_yearly!$D:$AM, 10, FALSE), 1)</f>
        <v>5.6793696236063385E-3</v>
      </c>
      <c r="AA8" s="7">
        <f>$B8 * IFERROR(VLOOKUP("buildings|NOx|Asthma symptoms wheeze", US_national_yearly!$D:$AM, 35, FALSE) / VLOOKUP("buildings|NOx|Asthma symptoms wheeze", US_national_yearly!$D:$AM, 10, FALSE), 1)</f>
        <v>5.7053287331542369E-3</v>
      </c>
      <c r="AB8" s="7">
        <f>$B8 * IFERROR(VLOOKUP("buildings|NOx|Asthma symptoms wheeze", US_national_yearly!$D:$AM, 36, FALSE) / VLOOKUP("buildings|NOx|Asthma symptoms wheeze", US_national_yearly!$D:$AM, 10, FALSE), 1)</f>
        <v>5.7312878427021371E-3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8.2981212691166434E-5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8.5054444393092423E-5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8.7127676095018398E-5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8.9200907796944387E-5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9.1274139498870362E-5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9.3256212093902258E-5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9.5238284688934128E-5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9.6922008660257249E-5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9.8605732631580371E-5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1.0028945660290349E-4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1.0197318057422663E-4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1.0365690454554975E-4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1.0478246475618108E-4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1.0590802496681241E-4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1.0703358517744375E-4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1.0815914538807509E-4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1.0928470559870641E-4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1.0988819689756134E-4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1.1049168819641627E-4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1.1109517949527121E-4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1.1169867079412614E-4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1.1230216209298106E-4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1.1271528036253009E-4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1.1312839863207911E-4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1.1354151690162815E-4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1.1395463517117717E-4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1.143677534407262E-4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4.5877816711149409E-4</v>
      </c>
      <c r="C13" s="7">
        <f>$B13 * IFERROR(VLOOKUP("buildings|NOx|Non-fatal heart attacks", US_national_yearly!$D:$AM, 11, FALSE) / VLOOKUP("buildings|NOx|Non-fatal heart attacks", US_national_yearly!$D:$AM, 10, FALSE), 1)</f>
        <v>4.7190287508670786E-4</v>
      </c>
      <c r="D13" s="7">
        <f>$B13 * IFERROR(VLOOKUP("buildings|NOx|Non-fatal heart attacks", US_national_yearly!$D:$AM, 12, FALSE) / VLOOKUP("buildings|NOx|Non-fatal heart attacks", US_national_yearly!$D:$AM, 10, FALSE), 1)</f>
        <v>4.8502758306192179E-4</v>
      </c>
      <c r="E13" s="7">
        <f>$B13 * IFERROR(VLOOKUP("buildings|NOx|Non-fatal heart attacks", US_national_yearly!$D:$AM, 13, FALSE) / VLOOKUP("buildings|NOx|Non-fatal heart attacks", US_national_yearly!$D:$AM, 10, FALSE), 1)</f>
        <v>4.9815229103713555E-4</v>
      </c>
      <c r="F13" s="7">
        <f>$B13 * IFERROR(VLOOKUP("buildings|NOx|Non-fatal heart attacks", US_national_yearly!$D:$AM, 14, FALSE) / VLOOKUP("buildings|NOx|Non-fatal heart attacks", US_national_yearly!$D:$AM, 10, FALSE), 1)</f>
        <v>5.1127699901234926E-4</v>
      </c>
      <c r="G13" s="7">
        <f>$B13 * IFERROR(VLOOKUP("buildings|NOx|Non-fatal heart attacks", US_national_yearly!$D:$AM, 15, FALSE) / VLOOKUP("buildings|NOx|Non-fatal heart attacks", US_national_yearly!$D:$AM, 10, FALSE), 1)</f>
        <v>5.235446194126204E-4</v>
      </c>
      <c r="H13" s="7">
        <f>$B13 * IFERROR(VLOOKUP("buildings|NOx|Non-fatal heart attacks", US_national_yearly!$D:$AM, 16, FALSE) / VLOOKUP("buildings|NOx|Non-fatal heart attacks", US_national_yearly!$D:$AM, 10, FALSE), 1)</f>
        <v>5.3581223981289164E-4</v>
      </c>
      <c r="I13" s="7">
        <f>$B13 * IFERROR(VLOOKUP("buildings|NOx|Non-fatal heart attacks", US_national_yearly!$D:$AM, 17, FALSE) / VLOOKUP("buildings|NOx|Non-fatal heart attacks", US_national_yearly!$D:$AM, 10, FALSE), 1)</f>
        <v>5.4549051045634054E-4</v>
      </c>
      <c r="J13" s="7">
        <f>$B13 * IFERROR(VLOOKUP("buildings|NOx|Non-fatal heart attacks", US_national_yearly!$D:$AM, 18, FALSE) / VLOOKUP("buildings|NOx|Non-fatal heart attacks", US_national_yearly!$D:$AM, 10, FALSE), 1)</f>
        <v>5.5516878109978943E-4</v>
      </c>
      <c r="K13" s="7">
        <f>$B13 * IFERROR(VLOOKUP("buildings|NOx|Non-fatal heart attacks", US_national_yearly!$D:$AM, 19, FALSE) / VLOOKUP("buildings|NOx|Non-fatal heart attacks", US_national_yearly!$D:$AM, 10, FALSE), 1)</f>
        <v>5.6484705174323854E-4</v>
      </c>
      <c r="L13" s="7">
        <f>$B13 * IFERROR(VLOOKUP("buildings|NOx|Non-fatal heart attacks", US_national_yearly!$D:$AM, 20, FALSE) / VLOOKUP("buildings|NOx|Non-fatal heart attacks", US_national_yearly!$D:$AM, 10, FALSE), 1)</f>
        <v>5.7452532238668711E-4</v>
      </c>
      <c r="M13" s="7">
        <f>$B13 * IFERROR(VLOOKUP("buildings|NOx|Non-fatal heart attacks", US_national_yearly!$D:$AM, 21, FALSE) / VLOOKUP("buildings|NOx|Non-fatal heart attacks", US_national_yearly!$D:$AM, 10, FALSE), 1)</f>
        <v>5.8420359303013622E-4</v>
      </c>
      <c r="N13" s="7">
        <f>$B13 * IFERROR(VLOOKUP("buildings|NOx|Non-fatal heart attacks", US_national_yearly!$D:$AM, 22, FALSE) / VLOOKUP("buildings|NOx|Non-fatal heart attacks", US_national_yearly!$D:$AM, 10, FALSE), 1)</f>
        <v>5.9002826969074243E-4</v>
      </c>
      <c r="O13" s="7">
        <f>$B13 * IFERROR(VLOOKUP("buildings|NOx|Non-fatal heart attacks", US_national_yearly!$D:$AM, 23, FALSE) / VLOOKUP("buildings|NOx|Non-fatal heart attacks", US_national_yearly!$D:$AM, 10, FALSE), 1)</f>
        <v>5.9585294635134854E-4</v>
      </c>
      <c r="P13" s="7">
        <f>$B13 * IFERROR(VLOOKUP("buildings|NOx|Non-fatal heart attacks", US_national_yearly!$D:$AM, 24, FALSE) / VLOOKUP("buildings|NOx|Non-fatal heart attacks", US_national_yearly!$D:$AM, 10, FALSE), 1)</f>
        <v>6.0167762301195464E-4</v>
      </c>
      <c r="Q13" s="7">
        <f>$B13 * IFERROR(VLOOKUP("buildings|NOx|Non-fatal heart attacks", US_national_yearly!$D:$AM, 25, FALSE) / VLOOKUP("buildings|NOx|Non-fatal heart attacks", US_national_yearly!$D:$AM, 10, FALSE), 1)</f>
        <v>6.0750229967256085E-4</v>
      </c>
      <c r="R13" s="7">
        <f>$B13 * IFERROR(VLOOKUP("buildings|NOx|Non-fatal heart attacks", US_national_yearly!$D:$AM, 26, FALSE) / VLOOKUP("buildings|NOx|Non-fatal heart attacks", US_national_yearly!$D:$AM, 10, FALSE), 1)</f>
        <v>6.1332697633316696E-4</v>
      </c>
      <c r="S13" s="7">
        <f>$B13 * IFERROR(VLOOKUP("buildings|NOx|Non-fatal heart attacks", US_national_yearly!$D:$AM, 27, FALSE) / VLOOKUP("buildings|NOx|Non-fatal heart attacks", US_national_yearly!$D:$AM, 10, FALSE), 1)</f>
        <v>6.1597393791071081E-4</v>
      </c>
      <c r="T13" s="7">
        <f>$B13 * IFERROR(VLOOKUP("buildings|NOx|Non-fatal heart attacks", US_national_yearly!$D:$AM, 28, FALSE) / VLOOKUP("buildings|NOx|Non-fatal heart attacks", US_national_yearly!$D:$AM, 10, FALSE), 1)</f>
        <v>6.1862089948825478E-4</v>
      </c>
      <c r="U13" s="7">
        <f>$B13 * IFERROR(VLOOKUP("buildings|NOx|Non-fatal heart attacks", US_national_yearly!$D:$AM, 29, FALSE) / VLOOKUP("buildings|NOx|Non-fatal heart attacks", US_national_yearly!$D:$AM, 10, FALSE), 1)</f>
        <v>6.2126786106579863E-4</v>
      </c>
      <c r="V13" s="7">
        <f>$B13 * IFERROR(VLOOKUP("buildings|NOx|Non-fatal heart attacks", US_national_yearly!$D:$AM, 30, FALSE) / VLOOKUP("buildings|NOx|Non-fatal heart attacks", US_national_yearly!$D:$AM, 10, FALSE), 1)</f>
        <v>6.2391482264334249E-4</v>
      </c>
      <c r="W13" s="7">
        <f>$B13 * IFERROR(VLOOKUP("buildings|NOx|Non-fatal heart attacks", US_national_yearly!$D:$AM, 31, FALSE) / VLOOKUP("buildings|NOx|Non-fatal heart attacks", US_national_yearly!$D:$AM, 10, FALSE), 1)</f>
        <v>6.2656178422088634E-4</v>
      </c>
      <c r="X13" s="7">
        <f>$B13 * IFERROR(VLOOKUP("buildings|NOx|Non-fatal heart attacks", US_national_yearly!$D:$AM, 32, FALSE) / VLOOKUP("buildings|NOx|Non-fatal heart attacks", US_national_yearly!$D:$AM, 10, FALSE), 1)</f>
        <v>6.2833238597021488E-4</v>
      </c>
      <c r="Y13" s="7">
        <f>$B13 * IFERROR(VLOOKUP("buildings|NOx|Non-fatal heart attacks", US_national_yearly!$D:$AM, 33, FALSE) / VLOOKUP("buildings|NOx|Non-fatal heart attacks", US_national_yearly!$D:$AM, 10, FALSE), 1)</f>
        <v>6.3010298771954342E-4</v>
      </c>
      <c r="Z13" s="7">
        <f>$B13 * IFERROR(VLOOKUP("buildings|NOx|Non-fatal heart attacks", US_national_yearly!$D:$AM, 34, FALSE) / VLOOKUP("buildings|NOx|Non-fatal heart attacks", US_national_yearly!$D:$AM, 10, FALSE), 1)</f>
        <v>6.3187358946887207E-4</v>
      </c>
      <c r="AA13" s="7">
        <f>$B13 * IFERROR(VLOOKUP("buildings|NOx|Non-fatal heart attacks", US_national_yearly!$D:$AM, 35, FALSE) / VLOOKUP("buildings|NOx|Non-fatal heart attacks", US_national_yearly!$D:$AM, 10, FALSE), 1)</f>
        <v>6.3364419121820061E-4</v>
      </c>
      <c r="AB13" s="7">
        <f>$B13 * IFERROR(VLOOKUP("buildings|NOx|Non-fatal heart attacks", US_national_yearly!$D:$AM, 36, FALSE) / VLOOKUP("buildings|NOx|Non-fatal heart attacks", US_national_yearly!$D:$AM, 10, FALSE), 1)</f>
        <v>6.3541479296752915E-4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0.29578622186591585</v>
      </c>
      <c r="C14" s="7">
        <f>$B14 * IFERROR(VLOOKUP("buildings|NOx|Minor restricted activity days", US_national_yearly!$D:$AM, 11, FALSE) / VLOOKUP("buildings|NOx|Minor restricted activity days", US_national_yearly!$D:$AM, 10, FALSE), 1)</f>
        <v>0.29624521213090793</v>
      </c>
      <c r="D14" s="7">
        <f>$B14 * IFERROR(VLOOKUP("buildings|NOx|Minor restricted activity days", US_national_yearly!$D:$AM, 12, FALSE) / VLOOKUP("buildings|NOx|Minor restricted activity days", US_national_yearly!$D:$AM, 10, FALSE), 1)</f>
        <v>0.29670420239590006</v>
      </c>
      <c r="E14" s="7">
        <f>$B14 * IFERROR(VLOOKUP("buildings|NOx|Minor restricted activity days", US_national_yearly!$D:$AM, 13, FALSE) / VLOOKUP("buildings|NOx|Minor restricted activity days", US_national_yearly!$D:$AM, 10, FALSE), 1)</f>
        <v>0.29716319266089214</v>
      </c>
      <c r="F14" s="7">
        <f>$B14 * IFERROR(VLOOKUP("buildings|NOx|Minor restricted activity days", US_national_yearly!$D:$AM, 14, FALSE) / VLOOKUP("buildings|NOx|Minor restricted activity days", US_national_yearly!$D:$AM, 10, FALSE), 1)</f>
        <v>0.29762218292588427</v>
      </c>
      <c r="G14" s="7">
        <f>$B14 * IFERROR(VLOOKUP("buildings|NOx|Minor restricted activity days", US_national_yearly!$D:$AM, 15, FALSE) / VLOOKUP("buildings|NOx|Minor restricted activity days", US_national_yearly!$D:$AM, 10, FALSE), 1)</f>
        <v>0.29844675973343654</v>
      </c>
      <c r="H14" s="7">
        <f>$B14 * IFERROR(VLOOKUP("buildings|NOx|Minor restricted activity days", US_national_yearly!$D:$AM, 16, FALSE) / VLOOKUP("buildings|NOx|Minor restricted activity days", US_national_yearly!$D:$AM, 10, FALSE), 1)</f>
        <v>0.29927133654098875</v>
      </c>
      <c r="I14" s="7">
        <f>$B14 * IFERROR(VLOOKUP("buildings|NOx|Minor restricted activity days", US_national_yearly!$D:$AM, 17, FALSE) / VLOOKUP("buildings|NOx|Minor restricted activity days", US_national_yearly!$D:$AM, 10, FALSE), 1)</f>
        <v>0.30087902606276495</v>
      </c>
      <c r="J14" s="7">
        <f>$B14 * IFERROR(VLOOKUP("buildings|NOx|Minor restricted activity days", US_national_yearly!$D:$AM, 18, FALSE) / VLOOKUP("buildings|NOx|Minor restricted activity days", US_national_yearly!$D:$AM, 10, FALSE), 1)</f>
        <v>0.3024867155845411</v>
      </c>
      <c r="K14" s="7">
        <f>$B14 * IFERROR(VLOOKUP("buildings|NOx|Minor restricted activity days", US_national_yearly!$D:$AM, 19, FALSE) / VLOOKUP("buildings|NOx|Minor restricted activity days", US_national_yearly!$D:$AM, 10, FALSE), 1)</f>
        <v>0.30409440510631724</v>
      </c>
      <c r="L14" s="7">
        <f>$B14 * IFERROR(VLOOKUP("buildings|NOx|Minor restricted activity days", US_national_yearly!$D:$AM, 20, FALSE) / VLOOKUP("buildings|NOx|Minor restricted activity days", US_national_yearly!$D:$AM, 10, FALSE), 1)</f>
        <v>0.30570209462809345</v>
      </c>
      <c r="M14" s="7">
        <f>$B14 * IFERROR(VLOOKUP("buildings|NOx|Minor restricted activity days", US_national_yearly!$D:$AM, 21, FALSE) / VLOOKUP("buildings|NOx|Minor restricted activity days", US_national_yearly!$D:$AM, 10, FALSE), 1)</f>
        <v>0.30730978414986959</v>
      </c>
      <c r="N14" s="7">
        <f>$B14 * IFERROR(VLOOKUP("buildings|NOx|Minor restricted activity days", US_national_yearly!$D:$AM, 22, FALSE) / VLOOKUP("buildings|NOx|Minor restricted activity days", US_national_yearly!$D:$AM, 10, FALSE), 1)</f>
        <v>0.30960975809951718</v>
      </c>
      <c r="O14" s="7">
        <f>$B14 * IFERROR(VLOOKUP("buildings|NOx|Minor restricted activity days", US_national_yearly!$D:$AM, 23, FALSE) / VLOOKUP("buildings|NOx|Minor restricted activity days", US_national_yearly!$D:$AM, 10, FALSE), 1)</f>
        <v>0.31190973204916472</v>
      </c>
      <c r="P14" s="7">
        <f>$B14 * IFERROR(VLOOKUP("buildings|NOx|Minor restricted activity days", US_national_yearly!$D:$AM, 24, FALSE) / VLOOKUP("buildings|NOx|Minor restricted activity days", US_national_yearly!$D:$AM, 10, FALSE), 1)</f>
        <v>0.31420970599881232</v>
      </c>
      <c r="Q14" s="7">
        <f>$B14 * IFERROR(VLOOKUP("buildings|NOx|Minor restricted activity days", US_national_yearly!$D:$AM, 25, FALSE) / VLOOKUP("buildings|NOx|Minor restricted activity days", US_national_yearly!$D:$AM, 10, FALSE), 1)</f>
        <v>0.31650967994845985</v>
      </c>
      <c r="R14" s="7">
        <f>$B14 * IFERROR(VLOOKUP("buildings|NOx|Minor restricted activity days", US_national_yearly!$D:$AM, 26, FALSE) / VLOOKUP("buildings|NOx|Minor restricted activity days", US_national_yearly!$D:$AM, 10, FALSE), 1)</f>
        <v>0.31880965389810739</v>
      </c>
      <c r="S14" s="7">
        <f>$B14 * IFERROR(VLOOKUP("buildings|NOx|Minor restricted activity days", US_national_yearly!$D:$AM, 27, FALSE) / VLOOKUP("buildings|NOx|Minor restricted activity days", US_national_yearly!$D:$AM, 10, FALSE), 1)</f>
        <v>0.3211089657477022</v>
      </c>
      <c r="T14" s="7">
        <f>$B14 * IFERROR(VLOOKUP("buildings|NOx|Minor restricted activity days", US_national_yearly!$D:$AM, 28, FALSE) / VLOOKUP("buildings|NOx|Minor restricted activity days", US_national_yearly!$D:$AM, 10, FALSE), 1)</f>
        <v>0.32340827759729701</v>
      </c>
      <c r="U14" s="7">
        <f>$B14 * IFERROR(VLOOKUP("buildings|NOx|Minor restricted activity days", US_national_yearly!$D:$AM, 29, FALSE) / VLOOKUP("buildings|NOx|Minor restricted activity days", US_national_yearly!$D:$AM, 10, FALSE), 1)</f>
        <v>0.32570758944689188</v>
      </c>
      <c r="V14" s="7">
        <f>$B14 * IFERROR(VLOOKUP("buildings|NOx|Minor restricted activity days", US_national_yearly!$D:$AM, 30, FALSE) / VLOOKUP("buildings|NOx|Minor restricted activity days", US_national_yearly!$D:$AM, 10, FALSE), 1)</f>
        <v>0.32800690129648669</v>
      </c>
      <c r="W14" s="7">
        <f>$B14 * IFERROR(VLOOKUP("buildings|NOx|Minor restricted activity days", US_national_yearly!$D:$AM, 31, FALSE) / VLOOKUP("buildings|NOx|Minor restricted activity days", US_national_yearly!$D:$AM, 10, FALSE), 1)</f>
        <v>0.3303062131460815</v>
      </c>
      <c r="X14" s="7">
        <f>$B14 * IFERROR(VLOOKUP("buildings|NOx|Minor restricted activity days", US_national_yearly!$D:$AM, 32, FALSE) / VLOOKUP("buildings|NOx|Minor restricted activity days", US_national_yearly!$D:$AM, 10, FALSE), 1)</f>
        <v>0.33225083562585073</v>
      </c>
      <c r="Y14" s="7">
        <f>$B14 * IFERROR(VLOOKUP("buildings|NOx|Minor restricted activity days", US_national_yearly!$D:$AM, 33, FALSE) / VLOOKUP("buildings|NOx|Minor restricted activity days", US_national_yearly!$D:$AM, 10, FALSE), 1)</f>
        <v>0.33419545810562001</v>
      </c>
      <c r="Z14" s="7">
        <f>$B14 * IFERROR(VLOOKUP("buildings|NOx|Minor restricted activity days", US_national_yearly!$D:$AM, 34, FALSE) / VLOOKUP("buildings|NOx|Minor restricted activity days", US_national_yearly!$D:$AM, 10, FALSE), 1)</f>
        <v>0.33614008058538913</v>
      </c>
      <c r="AA14" s="7">
        <f>$B14 * IFERROR(VLOOKUP("buildings|NOx|Minor restricted activity days", US_national_yearly!$D:$AM, 35, FALSE) / VLOOKUP("buildings|NOx|Minor restricted activity days", US_national_yearly!$D:$AM, 10, FALSE), 1)</f>
        <v>0.33808470306515842</v>
      </c>
      <c r="AB14" s="7">
        <f>$B14 * IFERROR(VLOOKUP("buildings|NOx|Minor restricted activity days", US_national_yearly!$D:$AM, 36, FALSE) / VLOOKUP("buildings|NOx|Minor restricted activity days", US_national_yearly!$D:$AM, 10, FALSE), 1)</f>
        <v>0.34002932554492765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5.0264599092775877E-2</v>
      </c>
      <c r="C15" s="7">
        <f>$B15 * IFERROR(VLOOKUP("buildings|NOx|Work loss days", US_national_yearly!$D:$AM, 11, FALSE) / VLOOKUP("buildings|NOx|Work loss days", US_national_yearly!$D:$AM, 10, FALSE), 1)</f>
        <v>5.0377279006910872E-2</v>
      </c>
      <c r="D15" s="7">
        <f>$B15 * IFERROR(VLOOKUP("buildings|NOx|Work loss days", US_national_yearly!$D:$AM, 12, FALSE) / VLOOKUP("buildings|NOx|Work loss days", US_national_yearly!$D:$AM, 10, FALSE), 1)</f>
        <v>5.0489958921045852E-2</v>
      </c>
      <c r="E15" s="7">
        <f>$B15 * IFERROR(VLOOKUP("buildings|NOx|Work loss days", US_national_yearly!$D:$AM, 13, FALSE) / VLOOKUP("buildings|NOx|Work loss days", US_national_yearly!$D:$AM, 10, FALSE), 1)</f>
        <v>5.0602638835180833E-2</v>
      </c>
      <c r="F15" s="7">
        <f>$B15 * IFERROR(VLOOKUP("buildings|NOx|Work loss days", US_national_yearly!$D:$AM, 14, FALSE) / VLOOKUP("buildings|NOx|Work loss days", US_national_yearly!$D:$AM, 10, FALSE), 1)</f>
        <v>5.0715318749315827E-2</v>
      </c>
      <c r="G15" s="7">
        <f>$B15 * IFERROR(VLOOKUP("buildings|NOx|Work loss days", US_national_yearly!$D:$AM, 15, FALSE) / VLOOKUP("buildings|NOx|Work loss days", US_national_yearly!$D:$AM, 10, FALSE), 1)</f>
        <v>5.0879449677371916E-2</v>
      </c>
      <c r="H15" s="7">
        <f>$B15 * IFERROR(VLOOKUP("buildings|NOx|Work loss days", US_national_yearly!$D:$AM, 16, FALSE) / VLOOKUP("buildings|NOx|Work loss days", US_national_yearly!$D:$AM, 10, FALSE), 1)</f>
        <v>5.1043580605428004E-2</v>
      </c>
      <c r="I15" s="7">
        <f>$B15 * IFERROR(VLOOKUP("buildings|NOx|Work loss days", US_national_yearly!$D:$AM, 17, FALSE) / VLOOKUP("buildings|NOx|Work loss days", US_national_yearly!$D:$AM, 10, FALSE), 1)</f>
        <v>5.1309029788109577E-2</v>
      </c>
      <c r="J15" s="7">
        <f>$B15 * IFERROR(VLOOKUP("buildings|NOx|Work loss days", US_national_yearly!$D:$AM, 18, FALSE) / VLOOKUP("buildings|NOx|Work loss days", US_national_yearly!$D:$AM, 10, FALSE), 1)</f>
        <v>5.1574478970791142E-2</v>
      </c>
      <c r="K15" s="7">
        <f>$B15 * IFERROR(VLOOKUP("buildings|NOx|Work loss days", US_national_yearly!$D:$AM, 19, FALSE) / VLOOKUP("buildings|NOx|Work loss days", US_national_yearly!$D:$AM, 10, FALSE), 1)</f>
        <v>5.1839928153472721E-2</v>
      </c>
      <c r="L15" s="7">
        <f>$B15 * IFERROR(VLOOKUP("buildings|NOx|Work loss days", US_national_yearly!$D:$AM, 20, FALSE) / VLOOKUP("buildings|NOx|Work loss days", US_national_yearly!$D:$AM, 10, FALSE), 1)</f>
        <v>5.21053773361543E-2</v>
      </c>
      <c r="M15" s="7">
        <f>$B15 * IFERROR(VLOOKUP("buildings|NOx|Work loss days", US_national_yearly!$D:$AM, 21, FALSE) / VLOOKUP("buildings|NOx|Work loss days", US_national_yearly!$D:$AM, 10, FALSE), 1)</f>
        <v>5.2370826518835865E-2</v>
      </c>
      <c r="N15" s="7">
        <f>$B15 * IFERROR(VLOOKUP("buildings|NOx|Work loss days", US_national_yearly!$D:$AM, 22, FALSE) / VLOOKUP("buildings|NOx|Work loss days", US_national_yearly!$D:$AM, 10, FALSE), 1)</f>
        <v>5.2716176343358727E-2</v>
      </c>
      <c r="O15" s="7">
        <f>$B15 * IFERROR(VLOOKUP("buildings|NOx|Work loss days", US_national_yearly!$D:$AM, 23, FALSE) / VLOOKUP("buildings|NOx|Work loss days", US_national_yearly!$D:$AM, 10, FALSE), 1)</f>
        <v>5.3061526167881588E-2</v>
      </c>
      <c r="P15" s="7">
        <f>$B15 * IFERROR(VLOOKUP("buildings|NOx|Work loss days", US_national_yearly!$D:$AM, 24, FALSE) / VLOOKUP("buildings|NOx|Work loss days", US_national_yearly!$D:$AM, 10, FALSE), 1)</f>
        <v>5.3406875992404457E-2</v>
      </c>
      <c r="Q15" s="7">
        <f>$B15 * IFERROR(VLOOKUP("buildings|NOx|Work loss days", US_national_yearly!$D:$AM, 25, FALSE) / VLOOKUP("buildings|NOx|Work loss days", US_national_yearly!$D:$AM, 10, FALSE), 1)</f>
        <v>5.3752225816927325E-2</v>
      </c>
      <c r="R15" s="7">
        <f>$B15 * IFERROR(VLOOKUP("buildings|NOx|Work loss days", US_national_yearly!$D:$AM, 26, FALSE) / VLOOKUP("buildings|NOx|Work loss days", US_national_yearly!$D:$AM, 10, FALSE), 1)</f>
        <v>5.4097575641450193E-2</v>
      </c>
      <c r="S15" s="7">
        <f>$B15 * IFERROR(VLOOKUP("buildings|NOx|Work loss days", US_national_yearly!$D:$AM, 27, FALSE) / VLOOKUP("buildings|NOx|Work loss days", US_national_yearly!$D:$AM, 10, FALSE), 1)</f>
        <v>5.4482407498781887E-2</v>
      </c>
      <c r="T15" s="7">
        <f>$B15 * IFERROR(VLOOKUP("buildings|NOx|Work loss days", US_national_yearly!$D:$AM, 28, FALSE) / VLOOKUP("buildings|NOx|Work loss days", US_national_yearly!$D:$AM, 10, FALSE), 1)</f>
        <v>5.4867239356113588E-2</v>
      </c>
      <c r="U15" s="7">
        <f>$B15 * IFERROR(VLOOKUP("buildings|NOx|Work loss days", US_national_yearly!$D:$AM, 29, FALSE) / VLOOKUP("buildings|NOx|Work loss days", US_national_yearly!$D:$AM, 10, FALSE), 1)</f>
        <v>5.5252071213445282E-2</v>
      </c>
      <c r="V15" s="7">
        <f>$B15 * IFERROR(VLOOKUP("buildings|NOx|Work loss days", US_national_yearly!$D:$AM, 30, FALSE) / VLOOKUP("buildings|NOx|Work loss days", US_national_yearly!$D:$AM, 10, FALSE), 1)</f>
        <v>5.5636903070776976E-2</v>
      </c>
      <c r="W15" s="7">
        <f>$B15 * IFERROR(VLOOKUP("buildings|NOx|Work loss days", US_national_yearly!$D:$AM, 31, FALSE) / VLOOKUP("buildings|NOx|Work loss days", US_national_yearly!$D:$AM, 10, FALSE), 1)</f>
        <v>5.602173492810867E-2</v>
      </c>
      <c r="X15" s="7">
        <f>$B15 * IFERROR(VLOOKUP("buildings|NOx|Work loss days", US_national_yearly!$D:$AM, 32, FALSE) / VLOOKUP("buildings|NOx|Work loss days", US_national_yearly!$D:$AM, 10, FALSE), 1)</f>
        <v>5.6355849385974044E-2</v>
      </c>
      <c r="Y15" s="7">
        <f>$B15 * IFERROR(VLOOKUP("buildings|NOx|Work loss days", US_national_yearly!$D:$AM, 33, FALSE) / VLOOKUP("buildings|NOx|Work loss days", US_national_yearly!$D:$AM, 10, FALSE), 1)</f>
        <v>5.6689963843839418E-2</v>
      </c>
      <c r="Z15" s="7">
        <f>$B15 * IFERROR(VLOOKUP("buildings|NOx|Work loss days", US_national_yearly!$D:$AM, 34, FALSE) / VLOOKUP("buildings|NOx|Work loss days", US_national_yearly!$D:$AM, 10, FALSE), 1)</f>
        <v>5.7024078301704792E-2</v>
      </c>
      <c r="AA15" s="7">
        <f>$B15 * IFERROR(VLOOKUP("buildings|NOx|Work loss days", US_national_yearly!$D:$AM, 35, FALSE) / VLOOKUP("buildings|NOx|Work loss days", US_national_yearly!$D:$AM, 10, FALSE), 1)</f>
        <v>5.7358192759570159E-2</v>
      </c>
      <c r="AB15" s="7">
        <f>$B15 * IFERROR(VLOOKUP("buildings|NOx|Work loss days", US_national_yearly!$D:$AM, 36, FALSE) / VLOOKUP("buildings|NOx|Work loss days", US_national_yearly!$D:$AM, 10, FALSE), 1)</f>
        <v>5.7692307217435533E-2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1.1536011639443412E-4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1.1875171406723884E-4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1.221433117400436E-4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1.2553490941284831E-4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1.2892650708565303E-4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1.3214846318979737E-4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1.3537041929394169E-4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1.3808137725127576E-4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1.4079233520860983E-4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1.4350329316594387E-4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1.4621425112327791E-4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1.4892520908061193E-4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1.5062100588721561E-4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1.5231680269381923E-4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1.5401259950042288E-4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1.5570839630702654E-4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1.5740419311363016E-4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1.5817905092499983E-4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1.5895390873636947E-4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1.5972876654773914E-4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1.6050362435910878E-4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1.6127848217047845E-4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1.6171038009092712E-4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1.6214227801137582E-4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1.6257417593182449E-4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1.6300607385227319E-4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1.6343797177272186E-4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9.6532278247649995E-4</v>
      </c>
      <c r="C2" s="7">
        <f>$B2 * IFERROR(VLOOKUP("buildings|SO2|Premature mortality", US_national_yearly!$D:$AM, 11, FALSE) / VLOOKUP("buildings|SO2|Premature mortality", US_national_yearly!$D:$AM, 10, FALSE), 1)</f>
        <v>9.7755188903819561E-4</v>
      </c>
      <c r="D2" s="7">
        <f>$B2 * IFERROR(VLOOKUP("buildings|SO2|Premature mortality", US_national_yearly!$D:$AM, 12, FALSE) / VLOOKUP("buildings|SO2|Premature mortality", US_national_yearly!$D:$AM, 10, FALSE), 1)</f>
        <v>9.8978099559989094E-4</v>
      </c>
      <c r="E2" s="7">
        <f>$B2 * IFERROR(VLOOKUP("buildings|SO2|Premature mortality", US_national_yearly!$D:$AM, 13, FALSE) / VLOOKUP("buildings|SO2|Premature mortality", US_national_yearly!$D:$AM, 10, FALSE), 1)</f>
        <v>1.0020101021615865E-3</v>
      </c>
      <c r="F2" s="7">
        <f>$B2 * IFERROR(VLOOKUP("buildings|SO2|Premature mortality", US_national_yearly!$D:$AM, 14, FALSE) / VLOOKUP("buildings|SO2|Premature mortality", US_national_yearly!$D:$AM, 10, FALSE), 1)</f>
        <v>1.014239208723282E-3</v>
      </c>
      <c r="G2" s="7">
        <f>$B2 * IFERROR(VLOOKUP("buildings|SO2|Premature mortality", US_national_yearly!$D:$AM, 15, FALSE) / VLOOKUP("buildings|SO2|Premature mortality", US_national_yearly!$D:$AM, 10, FALSE), 1)</f>
        <v>1.03780221569449E-3</v>
      </c>
      <c r="H2" s="7">
        <f>$B2 * IFERROR(VLOOKUP("buildings|SO2|Premature mortality", US_national_yearly!$D:$AM, 16, FALSE) / VLOOKUP("buildings|SO2|Premature mortality", US_national_yearly!$D:$AM, 10, FALSE), 1)</f>
        <v>1.061365222665698E-3</v>
      </c>
      <c r="I2" s="7">
        <f>$B2 * IFERROR(VLOOKUP("buildings|SO2|Premature mortality", US_national_yearly!$D:$AM, 17, FALSE) / VLOOKUP("buildings|SO2|Premature mortality", US_national_yearly!$D:$AM, 10, FALSE), 1)</f>
        <v>1.0769449475330844E-3</v>
      </c>
      <c r="J2" s="7">
        <f>$B2 * IFERROR(VLOOKUP("buildings|SO2|Premature mortality", US_national_yearly!$D:$AM, 18, FALSE) / VLOOKUP("buildings|SO2|Premature mortality", US_national_yearly!$D:$AM, 10, FALSE), 1)</f>
        <v>1.0925246724004707E-3</v>
      </c>
      <c r="K2" s="7">
        <f>$B2 * IFERROR(VLOOKUP("buildings|SO2|Premature mortality", US_national_yearly!$D:$AM, 19, FALSE) / VLOOKUP("buildings|SO2|Premature mortality", US_national_yearly!$D:$AM, 10, FALSE), 1)</f>
        <v>1.1081043972678572E-3</v>
      </c>
      <c r="L2" s="7">
        <f>$B2 * IFERROR(VLOOKUP("buildings|SO2|Premature mortality", US_national_yearly!$D:$AM, 20, FALSE) / VLOOKUP("buildings|SO2|Premature mortality", US_national_yearly!$D:$AM, 10, FALSE), 1)</f>
        <v>1.1236841221352436E-3</v>
      </c>
      <c r="M2" s="7">
        <f>$B2 * IFERROR(VLOOKUP("buildings|SO2|Premature mortality", US_national_yearly!$D:$AM, 21, FALSE) / VLOOKUP("buildings|SO2|Premature mortality", US_national_yearly!$D:$AM, 10, FALSE), 1)</f>
        <v>1.1392638470026299E-3</v>
      </c>
      <c r="N2" s="7">
        <f>$B2 * IFERROR(VLOOKUP("buildings|SO2|Premature mortality", US_national_yearly!$D:$AM, 22, FALSE) / VLOOKUP("buildings|SO2|Premature mortality", US_national_yearly!$D:$AM, 10, FALSE), 1)</f>
        <v>1.1514341808199293E-3</v>
      </c>
      <c r="O2" s="7">
        <f>$B2 * IFERROR(VLOOKUP("buildings|SO2|Premature mortality", US_national_yearly!$D:$AM, 23, FALSE) / VLOOKUP("buildings|SO2|Premature mortality", US_national_yearly!$D:$AM, 10, FALSE), 1)</f>
        <v>1.1636045146372284E-3</v>
      </c>
      <c r="P2" s="7">
        <f>$B2 * IFERROR(VLOOKUP("buildings|SO2|Premature mortality", US_national_yearly!$D:$AM, 24, FALSE) / VLOOKUP("buildings|SO2|Premature mortality", US_national_yearly!$D:$AM, 10, FALSE), 1)</f>
        <v>1.1757748484545276E-3</v>
      </c>
      <c r="Q2" s="7">
        <f>$B2 * IFERROR(VLOOKUP("buildings|SO2|Premature mortality", US_national_yearly!$D:$AM, 25, FALSE) / VLOOKUP("buildings|SO2|Premature mortality", US_national_yearly!$D:$AM, 10, FALSE), 1)</f>
        <v>1.1879451822718267E-3</v>
      </c>
      <c r="R2" s="7">
        <f>$B2 * IFERROR(VLOOKUP("buildings|SO2|Premature mortality", US_national_yearly!$D:$AM, 26, FALSE) / VLOOKUP("buildings|SO2|Premature mortality", US_national_yearly!$D:$AM, 10, FALSE), 1)</f>
        <v>1.2001155160891259E-3</v>
      </c>
      <c r="S2" s="7">
        <f>$B2 * IFERROR(VLOOKUP("buildings|SO2|Premature mortality", US_national_yearly!$D:$AM, 27, FALSE) / VLOOKUP("buildings|SO2|Premature mortality", US_national_yearly!$D:$AM, 10, FALSE), 1)</f>
        <v>1.2066292176693542E-3</v>
      </c>
      <c r="T2" s="7">
        <f>$B2 * IFERROR(VLOOKUP("buildings|SO2|Premature mortality", US_national_yearly!$D:$AM, 28, FALSE) / VLOOKUP("buildings|SO2|Premature mortality", US_national_yearly!$D:$AM, 10, FALSE), 1)</f>
        <v>1.2131429192495824E-3</v>
      </c>
      <c r="U2" s="7">
        <f>$B2 * IFERROR(VLOOKUP("buildings|SO2|Premature mortality", US_national_yearly!$D:$AM, 29, FALSE) / VLOOKUP("buildings|SO2|Premature mortality", US_national_yearly!$D:$AM, 10, FALSE), 1)</f>
        <v>1.2196566208298107E-3</v>
      </c>
      <c r="V2" s="7">
        <f>$B2 * IFERROR(VLOOKUP("buildings|SO2|Premature mortality", US_national_yearly!$D:$AM, 30, FALSE) / VLOOKUP("buildings|SO2|Premature mortality", US_national_yearly!$D:$AM, 10, FALSE), 1)</f>
        <v>1.2261703224100392E-3</v>
      </c>
      <c r="W2" s="7">
        <f>$B2 * IFERROR(VLOOKUP("buildings|SO2|Premature mortality", US_national_yearly!$D:$AM, 31, FALSE) / VLOOKUP("buildings|SO2|Premature mortality", US_national_yearly!$D:$AM, 10, FALSE), 1)</f>
        <v>1.2326840239902672E-3</v>
      </c>
      <c r="X2" s="7">
        <f>$B2 * IFERROR(VLOOKUP("buildings|SO2|Premature mortality", US_national_yearly!$D:$AM, 32, FALSE) / VLOOKUP("buildings|SO2|Premature mortality", US_national_yearly!$D:$AM, 10, FALSE), 1)</f>
        <v>1.2340002148138729E-3</v>
      </c>
      <c r="Y2" s="7">
        <f>$B2 * IFERROR(VLOOKUP("buildings|SO2|Premature mortality", US_national_yearly!$D:$AM, 33, FALSE) / VLOOKUP("buildings|SO2|Premature mortality", US_national_yearly!$D:$AM, 10, FALSE), 1)</f>
        <v>1.2353164056374787E-3</v>
      </c>
      <c r="Z2" s="7">
        <f>$B2 * IFERROR(VLOOKUP("buildings|SO2|Premature mortality", US_national_yearly!$D:$AM, 34, FALSE) / VLOOKUP("buildings|SO2|Premature mortality", US_national_yearly!$D:$AM, 10, FALSE), 1)</f>
        <v>1.2366325964610842E-3</v>
      </c>
      <c r="AA2" s="7">
        <f>$B2 * IFERROR(VLOOKUP("buildings|SO2|Premature mortality", US_national_yearly!$D:$AM, 35, FALSE) / VLOOKUP("buildings|SO2|Premature mortality", US_national_yearly!$D:$AM, 10, FALSE), 1)</f>
        <v>1.2379487872846899E-3</v>
      </c>
      <c r="AB2" s="7">
        <f>$B2 * IFERROR(VLOOKUP("buildings|SO2|Premature mortality", US_national_yearly!$D:$AM, 36, FALSE) / VLOOKUP("buildings|SO2|Premature mortality", US_national_yearly!$D:$AM, 10, FALSE), 1)</f>
        <v>1.2392649781082956E-3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2.2121392680871839E-6</v>
      </c>
      <c r="C3" s="7">
        <f>$B3 * IFERROR(VLOOKUP("buildings|SO2|Infant mortality", US_national_yearly!$D:$AM, 11, FALSE) / VLOOKUP("buildings|SO2|Infant mortality", US_national_yearly!$D:$AM, 10, FALSE), 1)</f>
        <v>2.1931781216292762E-6</v>
      </c>
      <c r="D3" s="7">
        <f>$B3 * IFERROR(VLOOKUP("buildings|SO2|Infant mortality", US_national_yearly!$D:$AM, 12, FALSE) / VLOOKUP("buildings|SO2|Infant mortality", US_national_yearly!$D:$AM, 10, FALSE), 1)</f>
        <v>2.1742169751713685E-6</v>
      </c>
      <c r="E3" s="7">
        <f>$B3 * IFERROR(VLOOKUP("buildings|SO2|Infant mortality", US_national_yearly!$D:$AM, 13, FALSE) / VLOOKUP("buildings|SO2|Infant mortality", US_national_yearly!$D:$AM, 10, FALSE), 1)</f>
        <v>2.1552558287134611E-6</v>
      </c>
      <c r="F3" s="7">
        <f>$B3 * IFERROR(VLOOKUP("buildings|SO2|Infant mortality", US_national_yearly!$D:$AM, 14, FALSE) / VLOOKUP("buildings|SO2|Infant mortality", US_national_yearly!$D:$AM, 10, FALSE), 1)</f>
        <v>2.1362946822555534E-6</v>
      </c>
      <c r="G3" s="7">
        <f>$B3 * IFERROR(VLOOKUP("buildings|SO2|Infant mortality", US_national_yearly!$D:$AM, 15, FALSE) / VLOOKUP("buildings|SO2|Infant mortality", US_national_yearly!$D:$AM, 10, FALSE), 1)</f>
        <v>1.4226876253439744E-6</v>
      </c>
      <c r="H3" s="7">
        <f>$B3 * IFERROR(VLOOKUP("buildings|SO2|Infant mortality", US_national_yearly!$D:$AM, 16, FALSE) / VLOOKUP("buildings|SO2|Infant mortality", US_national_yearly!$D:$AM, 10, FALSE), 1)</f>
        <v>7.0908056843239575E-7</v>
      </c>
      <c r="I3" s="7">
        <f>$B3 * IFERROR(VLOOKUP("buildings|SO2|Infant mortality", US_national_yearly!$D:$AM, 17, FALSE) / VLOOKUP("buildings|SO2|Infant mortality", US_national_yearly!$D:$AM, 10, FALSE), 1)</f>
        <v>7.0463171864230875E-7</v>
      </c>
      <c r="J3" s="7">
        <f>$B3 * IFERROR(VLOOKUP("buildings|SO2|Infant mortality", US_national_yearly!$D:$AM, 18, FALSE) / VLOOKUP("buildings|SO2|Infant mortality", US_national_yearly!$D:$AM, 10, FALSE), 1)</f>
        <v>7.0018286885222165E-7</v>
      </c>
      <c r="K3" s="7">
        <f>$B3 * IFERROR(VLOOKUP("buildings|SO2|Infant mortality", US_national_yearly!$D:$AM, 19, FALSE) / VLOOKUP("buildings|SO2|Infant mortality", US_national_yearly!$D:$AM, 10, FALSE), 1)</f>
        <v>6.9573401906213465E-7</v>
      </c>
      <c r="L3" s="7">
        <f>$B3 * IFERROR(VLOOKUP("buildings|SO2|Infant mortality", US_national_yearly!$D:$AM, 20, FALSE) / VLOOKUP("buildings|SO2|Infant mortality", US_national_yearly!$D:$AM, 10, FALSE), 1)</f>
        <v>6.9128516927204754E-7</v>
      </c>
      <c r="M3" s="7">
        <f>$B3 * IFERROR(VLOOKUP("buildings|SO2|Infant mortality", US_national_yearly!$D:$AM, 21, FALSE) / VLOOKUP("buildings|SO2|Infant mortality", US_national_yearly!$D:$AM, 10, FALSE), 1)</f>
        <v>6.8683631948196055E-7</v>
      </c>
      <c r="N3" s="7">
        <f>$B3 * IFERROR(VLOOKUP("buildings|SO2|Infant mortality", US_national_yearly!$D:$AM, 22, FALSE) / VLOOKUP("buildings|SO2|Infant mortality", US_national_yearly!$D:$AM, 10, FALSE), 1)</f>
        <v>6.8404736327389277E-7</v>
      </c>
      <c r="O3" s="7">
        <f>$B3 * IFERROR(VLOOKUP("buildings|SO2|Infant mortality", US_national_yearly!$D:$AM, 23, FALSE) / VLOOKUP("buildings|SO2|Infant mortality", US_national_yearly!$D:$AM, 10, FALSE), 1)</f>
        <v>6.8125840706582488E-7</v>
      </c>
      <c r="P3" s="7">
        <f>$B3 * IFERROR(VLOOKUP("buildings|SO2|Infant mortality", US_national_yearly!$D:$AM, 24, FALSE) / VLOOKUP("buildings|SO2|Infant mortality", US_national_yearly!$D:$AM, 10, FALSE), 1)</f>
        <v>6.784694508577571E-7</v>
      </c>
      <c r="Q3" s="7">
        <f>$B3 * IFERROR(VLOOKUP("buildings|SO2|Infant mortality", US_national_yearly!$D:$AM, 25, FALSE) / VLOOKUP("buildings|SO2|Infant mortality", US_national_yearly!$D:$AM, 10, FALSE), 1)</f>
        <v>6.7568049464968932E-7</v>
      </c>
      <c r="R3" s="7">
        <f>$B3 * IFERROR(VLOOKUP("buildings|SO2|Infant mortality", US_national_yearly!$D:$AM, 26, FALSE) / VLOOKUP("buildings|SO2|Infant mortality", US_national_yearly!$D:$AM, 10, FALSE), 1)</f>
        <v>6.7289153844162144E-7</v>
      </c>
      <c r="S3" s="7">
        <f>$B3 * IFERROR(VLOOKUP("buildings|SO2|Infant mortality", US_national_yearly!$D:$AM, 27, FALSE) / VLOOKUP("buildings|SO2|Infant mortality", US_national_yearly!$D:$AM, 10, FALSE), 1)</f>
        <v>6.6938949362985772E-7</v>
      </c>
      <c r="T3" s="7">
        <f>$B3 * IFERROR(VLOOKUP("buildings|SO2|Infant mortality", US_national_yearly!$D:$AM, 28, FALSE) / VLOOKUP("buildings|SO2|Infant mortality", US_national_yearly!$D:$AM, 10, FALSE), 1)</f>
        <v>6.6588744881809401E-7</v>
      </c>
      <c r="U3" s="7">
        <f>$B3 * IFERROR(VLOOKUP("buildings|SO2|Infant mortality", US_national_yearly!$D:$AM, 29, FALSE) / VLOOKUP("buildings|SO2|Infant mortality", US_national_yearly!$D:$AM, 10, FALSE), 1)</f>
        <v>6.623854040063303E-7</v>
      </c>
      <c r="V3" s="7">
        <f>$B3 * IFERROR(VLOOKUP("buildings|SO2|Infant mortality", US_national_yearly!$D:$AM, 30, FALSE) / VLOOKUP("buildings|SO2|Infant mortality", US_national_yearly!$D:$AM, 10, FALSE), 1)</f>
        <v>6.5888335919456648E-7</v>
      </c>
      <c r="W3" s="7">
        <f>$B3 * IFERROR(VLOOKUP("buildings|SO2|Infant mortality", US_national_yearly!$D:$AM, 31, FALSE) / VLOOKUP("buildings|SO2|Infant mortality", US_national_yearly!$D:$AM, 10, FALSE), 1)</f>
        <v>6.5538131438280276E-7</v>
      </c>
      <c r="X3" s="7">
        <f>$B3 * IFERROR(VLOOKUP("buildings|SO2|Infant mortality", US_national_yearly!$D:$AM, 32, FALSE) / VLOOKUP("buildings|SO2|Infant mortality", US_national_yearly!$D:$AM, 10, FALSE), 1)</f>
        <v>6.5155652654382828E-7</v>
      </c>
      <c r="Y3" s="7">
        <f>$B3 * IFERROR(VLOOKUP("buildings|SO2|Infant mortality", US_national_yearly!$D:$AM, 33, FALSE) / VLOOKUP("buildings|SO2|Infant mortality", US_national_yearly!$D:$AM, 10, FALSE), 1)</f>
        <v>6.4773173870485391E-7</v>
      </c>
      <c r="Z3" s="7">
        <f>$B3 * IFERROR(VLOOKUP("buildings|SO2|Infant mortality", US_national_yearly!$D:$AM, 34, FALSE) / VLOOKUP("buildings|SO2|Infant mortality", US_national_yearly!$D:$AM, 10, FALSE), 1)</f>
        <v>6.4390695086587954E-7</v>
      </c>
      <c r="AA3" s="7">
        <f>$B3 * IFERROR(VLOOKUP("buildings|SO2|Infant mortality", US_national_yearly!$D:$AM, 35, FALSE) / VLOOKUP("buildings|SO2|Infant mortality", US_national_yearly!$D:$AM, 10, FALSE), 1)</f>
        <v>6.4008216302690495E-7</v>
      </c>
      <c r="AB3" s="7">
        <f>$B3 * IFERROR(VLOOKUP("buildings|SO2|Infant mortality", US_national_yearly!$D:$AM, 36, FALSE) / VLOOKUP("buildings|SO2|Infant mortality", US_national_yearly!$D:$AM, 10, FALSE), 1)</f>
        <v>6.3625737518793058E-7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2.5256264801311553E-3</v>
      </c>
      <c r="C6" s="7">
        <f>$B6 * IFERROR(VLOOKUP("buildings|SO2|Asthma symptoms cough", US_national_yearly!$D:$AM, 11, FALSE) / VLOOKUP("buildings|SO2|Asthma symptoms cough", US_national_yearly!$D:$AM, 10, FALSE), 1)</f>
        <v>2.5256264801311553E-3</v>
      </c>
      <c r="D6" s="7">
        <f>$B6 * IFERROR(VLOOKUP("buildings|SO2|Asthma symptoms cough", US_national_yearly!$D:$AM, 12, FALSE) / VLOOKUP("buildings|SO2|Asthma symptoms cough", US_national_yearly!$D:$AM, 10, FALSE), 1)</f>
        <v>2.5256264801311553E-3</v>
      </c>
      <c r="E6" s="7">
        <f>$B6 * IFERROR(VLOOKUP("buildings|SO2|Asthma symptoms cough", US_national_yearly!$D:$AM, 13, FALSE) / VLOOKUP("buildings|SO2|Asthma symptoms cough", US_national_yearly!$D:$AM, 10, FALSE), 1)</f>
        <v>2.5256264801311553E-3</v>
      </c>
      <c r="F6" s="7">
        <f>$B6 * IFERROR(VLOOKUP("buildings|SO2|Asthma symptoms cough", US_national_yearly!$D:$AM, 14, FALSE) / VLOOKUP("buildings|SO2|Asthma symptoms cough", US_national_yearly!$D:$AM, 10, FALSE), 1)</f>
        <v>2.5256264801311553E-3</v>
      </c>
      <c r="G6" s="7">
        <f>$B6 * IFERROR(VLOOKUP("buildings|SO2|Asthma symptoms cough", US_national_yearly!$D:$AM, 15, FALSE) / VLOOKUP("buildings|SO2|Asthma symptoms cough", US_national_yearly!$D:$AM, 10, FALSE), 1)</f>
        <v>2.5256264801311553E-3</v>
      </c>
      <c r="H6" s="7">
        <f>$B6 * IFERROR(VLOOKUP("buildings|SO2|Asthma symptoms cough", US_national_yearly!$D:$AM, 16, FALSE) / VLOOKUP("buildings|SO2|Asthma symptoms cough", US_national_yearly!$D:$AM, 10, FALSE), 1)</f>
        <v>2.5256264801311553E-3</v>
      </c>
      <c r="I6" s="7">
        <f>$B6 * IFERROR(VLOOKUP("buildings|SO2|Asthma symptoms cough", US_national_yearly!$D:$AM, 17, FALSE) / VLOOKUP("buildings|SO2|Asthma symptoms cough", US_national_yearly!$D:$AM, 10, FALSE), 1)</f>
        <v>2.5256264801311553E-3</v>
      </c>
      <c r="J6" s="7">
        <f>$B6 * IFERROR(VLOOKUP("buildings|SO2|Asthma symptoms cough", US_national_yearly!$D:$AM, 18, FALSE) / VLOOKUP("buildings|SO2|Asthma symptoms cough", US_national_yearly!$D:$AM, 10, FALSE), 1)</f>
        <v>2.5256264801311553E-3</v>
      </c>
      <c r="K6" s="7">
        <f>$B6 * IFERROR(VLOOKUP("buildings|SO2|Asthma symptoms cough", US_national_yearly!$D:$AM, 19, FALSE) / VLOOKUP("buildings|SO2|Asthma symptoms cough", US_national_yearly!$D:$AM, 10, FALSE), 1)</f>
        <v>2.5256264801311553E-3</v>
      </c>
      <c r="L6" s="7">
        <f>$B6 * IFERROR(VLOOKUP("buildings|SO2|Asthma symptoms cough", US_national_yearly!$D:$AM, 20, FALSE) / VLOOKUP("buildings|SO2|Asthma symptoms cough", US_national_yearly!$D:$AM, 10, FALSE), 1)</f>
        <v>2.5256264801311553E-3</v>
      </c>
      <c r="M6" s="7">
        <f>$B6 * IFERROR(VLOOKUP("buildings|SO2|Asthma symptoms cough", US_national_yearly!$D:$AM, 21, FALSE) / VLOOKUP("buildings|SO2|Asthma symptoms cough", US_national_yearly!$D:$AM, 10, FALSE), 1)</f>
        <v>2.5256264801311553E-3</v>
      </c>
      <c r="N6" s="7">
        <f>$B6 * IFERROR(VLOOKUP("buildings|SO2|Asthma symptoms cough", US_national_yearly!$D:$AM, 22, FALSE) / VLOOKUP("buildings|SO2|Asthma symptoms cough", US_national_yearly!$D:$AM, 10, FALSE), 1)</f>
        <v>2.5256264801311553E-3</v>
      </c>
      <c r="O6" s="7">
        <f>$B6 * IFERROR(VLOOKUP("buildings|SO2|Asthma symptoms cough", US_national_yearly!$D:$AM, 23, FALSE) / VLOOKUP("buildings|SO2|Asthma symptoms cough", US_national_yearly!$D:$AM, 10, FALSE), 1)</f>
        <v>2.5256264801311553E-3</v>
      </c>
      <c r="P6" s="7">
        <f>$B6 * IFERROR(VLOOKUP("buildings|SO2|Asthma symptoms cough", US_national_yearly!$D:$AM, 24, FALSE) / VLOOKUP("buildings|SO2|Asthma symptoms cough", US_national_yearly!$D:$AM, 10, FALSE), 1)</f>
        <v>2.5256264801311553E-3</v>
      </c>
      <c r="Q6" s="7">
        <f>$B6 * IFERROR(VLOOKUP("buildings|SO2|Asthma symptoms cough", US_national_yearly!$D:$AM, 25, FALSE) / VLOOKUP("buildings|SO2|Asthma symptoms cough", US_national_yearly!$D:$AM, 10, FALSE), 1)</f>
        <v>2.5256264801311553E-3</v>
      </c>
      <c r="R6" s="7">
        <f>$B6 * IFERROR(VLOOKUP("buildings|SO2|Asthma symptoms cough", US_national_yearly!$D:$AM, 26, FALSE) / VLOOKUP("buildings|SO2|Asthma symptoms cough", US_national_yearly!$D:$AM, 10, FALSE), 1)</f>
        <v>2.5256264801311553E-3</v>
      </c>
      <c r="S6" s="7">
        <f>$B6 * IFERROR(VLOOKUP("buildings|SO2|Asthma symptoms cough", US_national_yearly!$D:$AM, 27, FALSE) / VLOOKUP("buildings|SO2|Asthma symptoms cough", US_national_yearly!$D:$AM, 10, FALSE), 1)</f>
        <v>2.5256264801311553E-3</v>
      </c>
      <c r="T6" s="7">
        <f>$B6 * IFERROR(VLOOKUP("buildings|SO2|Asthma symptoms cough", US_national_yearly!$D:$AM, 28, FALSE) / VLOOKUP("buildings|SO2|Asthma symptoms cough", US_national_yearly!$D:$AM, 10, FALSE), 1)</f>
        <v>2.5256264801311553E-3</v>
      </c>
      <c r="U6" s="7">
        <f>$B6 * IFERROR(VLOOKUP("buildings|SO2|Asthma symptoms cough", US_national_yearly!$D:$AM, 29, FALSE) / VLOOKUP("buildings|SO2|Asthma symptoms cough", US_national_yearly!$D:$AM, 10, FALSE), 1)</f>
        <v>2.5256264801311553E-3</v>
      </c>
      <c r="V6" s="7">
        <f>$B6 * IFERROR(VLOOKUP("buildings|SO2|Asthma symptoms cough", US_national_yearly!$D:$AM, 30, FALSE) / VLOOKUP("buildings|SO2|Asthma symptoms cough", US_national_yearly!$D:$AM, 10, FALSE), 1)</f>
        <v>2.5256264801311553E-3</v>
      </c>
      <c r="W6" s="7">
        <f>$B6 * IFERROR(VLOOKUP("buildings|SO2|Asthma symptoms cough", US_national_yearly!$D:$AM, 31, FALSE) / VLOOKUP("buildings|SO2|Asthma symptoms cough", US_national_yearly!$D:$AM, 10, FALSE), 1)</f>
        <v>2.5256264801311553E-3</v>
      </c>
      <c r="X6" s="7">
        <f>$B6 * IFERROR(VLOOKUP("buildings|SO2|Asthma symptoms cough", US_national_yearly!$D:$AM, 32, FALSE) / VLOOKUP("buildings|SO2|Asthma symptoms cough", US_national_yearly!$D:$AM, 10, FALSE), 1)</f>
        <v>2.5256264801311553E-3</v>
      </c>
      <c r="Y6" s="7">
        <f>$B6 * IFERROR(VLOOKUP("buildings|SO2|Asthma symptoms cough", US_national_yearly!$D:$AM, 33, FALSE) / VLOOKUP("buildings|SO2|Asthma symptoms cough", US_national_yearly!$D:$AM, 10, FALSE), 1)</f>
        <v>2.5256264801311553E-3</v>
      </c>
      <c r="Z6" s="7">
        <f>$B6 * IFERROR(VLOOKUP("buildings|SO2|Asthma symptoms cough", US_national_yearly!$D:$AM, 34, FALSE) / VLOOKUP("buildings|SO2|Asthma symptoms cough", US_national_yearly!$D:$AM, 10, FALSE), 1)</f>
        <v>2.5256264801311553E-3</v>
      </c>
      <c r="AA6" s="7">
        <f>$B6 * IFERROR(VLOOKUP("buildings|SO2|Asthma symptoms cough", US_national_yearly!$D:$AM, 35, FALSE) / VLOOKUP("buildings|SO2|Asthma symptoms cough", US_national_yearly!$D:$AM, 10, FALSE), 1)</f>
        <v>2.5256264801311553E-3</v>
      </c>
      <c r="AB6" s="7">
        <f>$B6 * IFERROR(VLOOKUP("buildings|SO2|Asthma symptoms cough", US_national_yearly!$D:$AM, 36, FALSE) / VLOOKUP("buildings|SO2|Asthma symptoms cough", US_national_yearly!$D:$AM, 10, FALSE), 1)</f>
        <v>2.5256264801311553E-3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3.40111873088755E-3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3.40111873088755E-3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3.40111873088755E-3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3.40111873088755E-3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3.40111873088755E-3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3.40111873088755E-3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3.40111873088755E-3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3.40111873088755E-3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3.40111873088755E-3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3.40111873088755E-3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3.40111873088755E-3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3.40111873088755E-3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3.40111873088755E-3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3.40111873088755E-3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3.40111873088755E-3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3.40111873088755E-3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3.40111873088755E-3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3.40111873088755E-3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3.40111873088755E-3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3.40111873088755E-3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3.40111873088755E-3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3.40111873088755E-3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3.40111873088755E-3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3.40111873088755E-3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3.40111873088755E-3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3.40111873088755E-3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3.40111873088755E-3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5.1963465930331522E-3</v>
      </c>
      <c r="C8" s="7">
        <f>$B8 * IFERROR(VLOOKUP("buildings|SO2|Asthma symptoms wheeze", US_national_yearly!$D:$AM, 11, FALSE) / VLOOKUP("buildings|SO2|Asthma symptoms wheeze", US_national_yearly!$D:$AM, 10, FALSE), 1)</f>
        <v>5.1963465930331522E-3</v>
      </c>
      <c r="D8" s="7">
        <f>$B8 * IFERROR(VLOOKUP("buildings|SO2|Asthma symptoms wheeze", US_national_yearly!$D:$AM, 12, FALSE) / VLOOKUP("buildings|SO2|Asthma symptoms wheeze", US_national_yearly!$D:$AM, 10, FALSE), 1)</f>
        <v>5.1963465930331522E-3</v>
      </c>
      <c r="E8" s="7">
        <f>$B8 * IFERROR(VLOOKUP("buildings|SO2|Asthma symptoms wheeze", US_national_yearly!$D:$AM, 13, FALSE) / VLOOKUP("buildings|SO2|Asthma symptoms wheeze", US_national_yearly!$D:$AM, 10, FALSE), 1)</f>
        <v>5.1963465930331522E-3</v>
      </c>
      <c r="F8" s="7">
        <f>$B8 * IFERROR(VLOOKUP("buildings|SO2|Asthma symptoms wheeze", US_national_yearly!$D:$AM, 14, FALSE) / VLOOKUP("buildings|SO2|Asthma symptoms wheeze", US_national_yearly!$D:$AM, 10, FALSE), 1)</f>
        <v>5.1963465930331522E-3</v>
      </c>
      <c r="G8" s="7">
        <f>$B8 * IFERROR(VLOOKUP("buildings|SO2|Asthma symptoms wheeze", US_national_yearly!$D:$AM, 15, FALSE) / VLOOKUP("buildings|SO2|Asthma symptoms wheeze", US_national_yearly!$D:$AM, 10, FALSE), 1)</f>
        <v>5.1963465930331522E-3</v>
      </c>
      <c r="H8" s="7">
        <f>$B8 * IFERROR(VLOOKUP("buildings|SO2|Asthma symptoms wheeze", US_national_yearly!$D:$AM, 16, FALSE) / VLOOKUP("buildings|SO2|Asthma symptoms wheeze", US_national_yearly!$D:$AM, 10, FALSE), 1)</f>
        <v>5.1963465930331522E-3</v>
      </c>
      <c r="I8" s="7">
        <f>$B8 * IFERROR(VLOOKUP("buildings|SO2|Asthma symptoms wheeze", US_national_yearly!$D:$AM, 17, FALSE) / VLOOKUP("buildings|SO2|Asthma symptoms wheeze", US_national_yearly!$D:$AM, 10, FALSE), 1)</f>
        <v>5.1963465930331522E-3</v>
      </c>
      <c r="J8" s="7">
        <f>$B8 * IFERROR(VLOOKUP("buildings|SO2|Asthma symptoms wheeze", US_national_yearly!$D:$AM, 18, FALSE) / VLOOKUP("buildings|SO2|Asthma symptoms wheeze", US_national_yearly!$D:$AM, 10, FALSE), 1)</f>
        <v>5.1963465930331522E-3</v>
      </c>
      <c r="K8" s="7">
        <f>$B8 * IFERROR(VLOOKUP("buildings|SO2|Asthma symptoms wheeze", US_national_yearly!$D:$AM, 19, FALSE) / VLOOKUP("buildings|SO2|Asthma symptoms wheeze", US_national_yearly!$D:$AM, 10, FALSE), 1)</f>
        <v>5.1963465930331522E-3</v>
      </c>
      <c r="L8" s="7">
        <f>$B8 * IFERROR(VLOOKUP("buildings|SO2|Asthma symptoms wheeze", US_national_yearly!$D:$AM, 20, FALSE) / VLOOKUP("buildings|SO2|Asthma symptoms wheeze", US_national_yearly!$D:$AM, 10, FALSE), 1)</f>
        <v>5.1963465930331522E-3</v>
      </c>
      <c r="M8" s="7">
        <f>$B8 * IFERROR(VLOOKUP("buildings|SO2|Asthma symptoms wheeze", US_national_yearly!$D:$AM, 21, FALSE) / VLOOKUP("buildings|SO2|Asthma symptoms wheeze", US_national_yearly!$D:$AM, 10, FALSE), 1)</f>
        <v>5.1963465930331522E-3</v>
      </c>
      <c r="N8" s="7">
        <f>$B8 * IFERROR(VLOOKUP("buildings|SO2|Asthma symptoms wheeze", US_national_yearly!$D:$AM, 22, FALSE) / VLOOKUP("buildings|SO2|Asthma symptoms wheeze", US_national_yearly!$D:$AM, 10, FALSE), 1)</f>
        <v>5.1963465930331522E-3</v>
      </c>
      <c r="O8" s="7">
        <f>$B8 * IFERROR(VLOOKUP("buildings|SO2|Asthma symptoms wheeze", US_national_yearly!$D:$AM, 23, FALSE) / VLOOKUP("buildings|SO2|Asthma symptoms wheeze", US_national_yearly!$D:$AM, 10, FALSE), 1)</f>
        <v>5.1963465930331522E-3</v>
      </c>
      <c r="P8" s="7">
        <f>$B8 * IFERROR(VLOOKUP("buildings|SO2|Asthma symptoms wheeze", US_national_yearly!$D:$AM, 24, FALSE) / VLOOKUP("buildings|SO2|Asthma symptoms wheeze", US_national_yearly!$D:$AM, 10, FALSE), 1)</f>
        <v>5.1963465930331522E-3</v>
      </c>
      <c r="Q8" s="7">
        <f>$B8 * IFERROR(VLOOKUP("buildings|SO2|Asthma symptoms wheeze", US_national_yearly!$D:$AM, 25, FALSE) / VLOOKUP("buildings|SO2|Asthma symptoms wheeze", US_national_yearly!$D:$AM, 10, FALSE), 1)</f>
        <v>5.1963465930331522E-3</v>
      </c>
      <c r="R8" s="7">
        <f>$B8 * IFERROR(VLOOKUP("buildings|SO2|Asthma symptoms wheeze", US_national_yearly!$D:$AM, 26, FALSE) / VLOOKUP("buildings|SO2|Asthma symptoms wheeze", US_national_yearly!$D:$AM, 10, FALSE), 1)</f>
        <v>5.1963465930331522E-3</v>
      </c>
      <c r="S8" s="7">
        <f>$B8 * IFERROR(VLOOKUP("buildings|SO2|Asthma symptoms wheeze", US_national_yearly!$D:$AM, 27, FALSE) / VLOOKUP("buildings|SO2|Asthma symptoms wheeze", US_national_yearly!$D:$AM, 10, FALSE), 1)</f>
        <v>5.1963465930331522E-3</v>
      </c>
      <c r="T8" s="7">
        <f>$B8 * IFERROR(VLOOKUP("buildings|SO2|Asthma symptoms wheeze", US_national_yearly!$D:$AM, 28, FALSE) / VLOOKUP("buildings|SO2|Asthma symptoms wheeze", US_national_yearly!$D:$AM, 10, FALSE), 1)</f>
        <v>5.1963465930331522E-3</v>
      </c>
      <c r="U8" s="7">
        <f>$B8 * IFERROR(VLOOKUP("buildings|SO2|Asthma symptoms wheeze", US_national_yearly!$D:$AM, 29, FALSE) / VLOOKUP("buildings|SO2|Asthma symptoms wheeze", US_national_yearly!$D:$AM, 10, FALSE), 1)</f>
        <v>5.1963465930331522E-3</v>
      </c>
      <c r="V8" s="7">
        <f>$B8 * IFERROR(VLOOKUP("buildings|SO2|Asthma symptoms wheeze", US_national_yearly!$D:$AM, 30, FALSE) / VLOOKUP("buildings|SO2|Asthma symptoms wheeze", US_national_yearly!$D:$AM, 10, FALSE), 1)</f>
        <v>5.1963465930331522E-3</v>
      </c>
      <c r="W8" s="7">
        <f>$B8 * IFERROR(VLOOKUP("buildings|SO2|Asthma symptoms wheeze", US_national_yearly!$D:$AM, 31, FALSE) / VLOOKUP("buildings|SO2|Asthma symptoms wheeze", US_national_yearly!$D:$AM, 10, FALSE), 1)</f>
        <v>5.1963465930331522E-3</v>
      </c>
      <c r="X8" s="7">
        <f>$B8 * IFERROR(VLOOKUP("buildings|SO2|Asthma symptoms wheeze", US_national_yearly!$D:$AM, 32, FALSE) / VLOOKUP("buildings|SO2|Asthma symptoms wheeze", US_national_yearly!$D:$AM, 10, FALSE), 1)</f>
        <v>5.1963465930331522E-3</v>
      </c>
      <c r="Y8" s="7">
        <f>$B8 * IFERROR(VLOOKUP("buildings|SO2|Asthma symptoms wheeze", US_national_yearly!$D:$AM, 33, FALSE) / VLOOKUP("buildings|SO2|Asthma symptoms wheeze", US_national_yearly!$D:$AM, 10, FALSE), 1)</f>
        <v>5.1963465930331522E-3</v>
      </c>
      <c r="Z8" s="7">
        <f>$B8 * IFERROR(VLOOKUP("buildings|SO2|Asthma symptoms wheeze", US_national_yearly!$D:$AM, 34, FALSE) / VLOOKUP("buildings|SO2|Asthma symptoms wheeze", US_national_yearly!$D:$AM, 10, FALSE), 1)</f>
        <v>5.1963465930331522E-3</v>
      </c>
      <c r="AA8" s="7">
        <f>$B8 * IFERROR(VLOOKUP("buildings|SO2|Asthma symptoms wheeze", US_national_yearly!$D:$AM, 35, FALSE) / VLOOKUP("buildings|SO2|Asthma symptoms wheeze", US_national_yearly!$D:$AM, 10, FALSE), 1)</f>
        <v>5.1963465930331522E-3</v>
      </c>
      <c r="AB8" s="7">
        <f>$B8 * IFERROR(VLOOKUP("buildings|SO2|Asthma symptoms wheeze", US_national_yearly!$D:$AM, 36, FALSE) / VLOOKUP("buildings|SO2|Asthma symptoms wheeze", US_national_yearly!$D:$AM, 10, FALSE), 1)</f>
        <v>5.1963465930331522E-3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8.4708355804334457E-5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8.5208675798735509E-5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8.5708995793136561E-5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8.6209315787537613E-5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8.6709635781938638E-5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8.7254921542521087E-5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8.7800207303103536E-5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8.8336828647554778E-5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8.887344999200602E-5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8.9410071336457262E-5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8.9946692680908491E-5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9.0483314025359746E-5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9.0875136439509186E-5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9.1266958853658626E-5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9.1658781267808066E-5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9.2050603681957492E-5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9.2442426096106932E-5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9.281603336732236E-5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9.3189640638537816E-5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9.3563247909753258E-5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9.3936855180968686E-5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9.4310462452184142E-5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9.4665486839109827E-5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9.5020511226035539E-5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9.5375535612961224E-5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9.5730559999886909E-5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9.6085584386812622E-5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4.6533001718955411E-4</v>
      </c>
      <c r="C13" s="7">
        <f>$B13 * IFERROR(VLOOKUP("buildings|SO2|Non-fatal heart attacks", US_national_yearly!$D:$AM, 11, FALSE) / VLOOKUP("buildings|SO2|Non-fatal heart attacks", US_national_yearly!$D:$AM, 10, FALSE), 1)</f>
        <v>4.7899483282999334E-4</v>
      </c>
      <c r="D13" s="7">
        <f>$B13 * IFERROR(VLOOKUP("buildings|SO2|Non-fatal heart attacks", US_national_yearly!$D:$AM, 12, FALSE) / VLOOKUP("buildings|SO2|Non-fatal heart attacks", US_national_yearly!$D:$AM, 10, FALSE), 1)</f>
        <v>4.9265964847043241E-4</v>
      </c>
      <c r="E13" s="7">
        <f>$B13 * IFERROR(VLOOKUP("buildings|SO2|Non-fatal heart attacks", US_national_yearly!$D:$AM, 13, FALSE) / VLOOKUP("buildings|SO2|Non-fatal heart attacks", US_national_yearly!$D:$AM, 10, FALSE), 1)</f>
        <v>5.0632446411087153E-4</v>
      </c>
      <c r="F13" s="7">
        <f>$B13 * IFERROR(VLOOKUP("buildings|SO2|Non-fatal heart attacks", US_national_yearly!$D:$AM, 14, FALSE) / VLOOKUP("buildings|SO2|Non-fatal heart attacks", US_national_yearly!$D:$AM, 10, FALSE), 1)</f>
        <v>5.1998927975131076E-4</v>
      </c>
      <c r="G13" s="7">
        <f>$B13 * IFERROR(VLOOKUP("buildings|SO2|Non-fatal heart attacks", US_national_yearly!$D:$AM, 15, FALSE) / VLOOKUP("buildings|SO2|Non-fatal heart attacks", US_national_yearly!$D:$AM, 10, FALSE), 1)</f>
        <v>5.3287740476570323E-4</v>
      </c>
      <c r="H13" s="7">
        <f>$B13 * IFERROR(VLOOKUP("buildings|SO2|Non-fatal heart attacks", US_national_yearly!$D:$AM, 16, FALSE) / VLOOKUP("buildings|SO2|Non-fatal heart attacks", US_national_yearly!$D:$AM, 10, FALSE), 1)</f>
        <v>5.4576552978009569E-4</v>
      </c>
      <c r="I13" s="7">
        <f>$B13 * IFERROR(VLOOKUP("buildings|SO2|Non-fatal heart attacks", US_national_yearly!$D:$AM, 17, FALSE) / VLOOKUP("buildings|SO2|Non-fatal heart attacks", US_national_yearly!$D:$AM, 10, FALSE), 1)</f>
        <v>5.5613961614317206E-4</v>
      </c>
      <c r="J13" s="7">
        <f>$B13 * IFERROR(VLOOKUP("buildings|SO2|Non-fatal heart attacks", US_national_yearly!$D:$AM, 18, FALSE) / VLOOKUP("buildings|SO2|Non-fatal heart attacks", US_national_yearly!$D:$AM, 10, FALSE), 1)</f>
        <v>5.6651370250624842E-4</v>
      </c>
      <c r="K13" s="7">
        <f>$B13 * IFERROR(VLOOKUP("buildings|SO2|Non-fatal heart attacks", US_national_yearly!$D:$AM, 19, FALSE) / VLOOKUP("buildings|SO2|Non-fatal heart attacks", US_national_yearly!$D:$AM, 10, FALSE), 1)</f>
        <v>5.7688778886932478E-4</v>
      </c>
      <c r="L13" s="7">
        <f>$B13 * IFERROR(VLOOKUP("buildings|SO2|Non-fatal heart attacks", US_national_yearly!$D:$AM, 20, FALSE) / VLOOKUP("buildings|SO2|Non-fatal heart attacks", US_national_yearly!$D:$AM, 10, FALSE), 1)</f>
        <v>5.8726187523240126E-4</v>
      </c>
      <c r="M13" s="7">
        <f>$B13 * IFERROR(VLOOKUP("buildings|SO2|Non-fatal heart attacks", US_national_yearly!$D:$AM, 21, FALSE) / VLOOKUP("buildings|SO2|Non-fatal heart attacks", US_national_yearly!$D:$AM, 10, FALSE), 1)</f>
        <v>5.9763596159547773E-4</v>
      </c>
      <c r="N13" s="7">
        <f>$B13 * IFERROR(VLOOKUP("buildings|SO2|Non-fatal heart attacks", US_national_yearly!$D:$AM, 22, FALSE) / VLOOKUP("buildings|SO2|Non-fatal heart attacks", US_national_yearly!$D:$AM, 10, FALSE), 1)</f>
        <v>6.0436922589318892E-4</v>
      </c>
      <c r="O13" s="7">
        <f>$B13 * IFERROR(VLOOKUP("buildings|SO2|Non-fatal heart attacks", US_national_yearly!$D:$AM, 23, FALSE) / VLOOKUP("buildings|SO2|Non-fatal heart attacks", US_national_yearly!$D:$AM, 10, FALSE), 1)</f>
        <v>6.1110249019090022E-4</v>
      </c>
      <c r="P13" s="7">
        <f>$B13 * IFERROR(VLOOKUP("buildings|SO2|Non-fatal heart attacks", US_national_yearly!$D:$AM, 24, FALSE) / VLOOKUP("buildings|SO2|Non-fatal heart attacks", US_national_yearly!$D:$AM, 10, FALSE), 1)</f>
        <v>6.1783575448861141E-4</v>
      </c>
      <c r="Q13" s="7">
        <f>$B13 * IFERROR(VLOOKUP("buildings|SO2|Non-fatal heart attacks", US_national_yearly!$D:$AM, 25, FALSE) / VLOOKUP("buildings|SO2|Non-fatal heart attacks", US_national_yearly!$D:$AM, 10, FALSE), 1)</f>
        <v>6.245690187863226E-4</v>
      </c>
      <c r="R13" s="7">
        <f>$B13 * IFERROR(VLOOKUP("buildings|SO2|Non-fatal heart attacks", US_national_yearly!$D:$AM, 26, FALSE) / VLOOKUP("buildings|SO2|Non-fatal heart attacks", US_national_yearly!$D:$AM, 10, FALSE), 1)</f>
        <v>6.313022830840339E-4</v>
      </c>
      <c r="S13" s="7">
        <f>$B13 * IFERROR(VLOOKUP("buildings|SO2|Non-fatal heart attacks", US_national_yearly!$D:$AM, 27, FALSE) / VLOOKUP("buildings|SO2|Non-fatal heart attacks", US_national_yearly!$D:$AM, 10, FALSE), 1)</f>
        <v>6.3481838267540796E-4</v>
      </c>
      <c r="T13" s="7">
        <f>$B13 * IFERROR(VLOOKUP("buildings|SO2|Non-fatal heart attacks", US_national_yearly!$D:$AM, 28, FALSE) / VLOOKUP("buildings|SO2|Non-fatal heart attacks", US_national_yearly!$D:$AM, 10, FALSE), 1)</f>
        <v>6.3833448226678191E-4</v>
      </c>
      <c r="U13" s="7">
        <f>$B13 * IFERROR(VLOOKUP("buildings|SO2|Non-fatal heart attacks", US_national_yearly!$D:$AM, 29, FALSE) / VLOOKUP("buildings|SO2|Non-fatal heart attacks", US_national_yearly!$D:$AM, 10, FALSE), 1)</f>
        <v>6.4185058185815575E-4</v>
      </c>
      <c r="V13" s="7">
        <f>$B13 * IFERROR(VLOOKUP("buildings|SO2|Non-fatal heart attacks", US_national_yearly!$D:$AM, 30, FALSE) / VLOOKUP("buildings|SO2|Non-fatal heart attacks", US_national_yearly!$D:$AM, 10, FALSE), 1)</f>
        <v>6.4536668144952981E-4</v>
      </c>
      <c r="W13" s="7">
        <f>$B13 * IFERROR(VLOOKUP("buildings|SO2|Non-fatal heart attacks", US_national_yearly!$D:$AM, 31, FALSE) / VLOOKUP("buildings|SO2|Non-fatal heart attacks", US_national_yearly!$D:$AM, 10, FALSE), 1)</f>
        <v>6.4888278104090376E-4</v>
      </c>
      <c r="X13" s="7">
        <f>$B13 * IFERROR(VLOOKUP("buildings|SO2|Non-fatal heart attacks", US_national_yearly!$D:$AM, 32, FALSE) / VLOOKUP("buildings|SO2|Non-fatal heart attacks", US_national_yearly!$D:$AM, 10, FALSE), 1)</f>
        <v>6.5153839765536242E-4</v>
      </c>
      <c r="Y13" s="7">
        <f>$B13 * IFERROR(VLOOKUP("buildings|SO2|Non-fatal heart attacks", US_national_yearly!$D:$AM, 33, FALSE) / VLOOKUP("buildings|SO2|Non-fatal heart attacks", US_national_yearly!$D:$AM, 10, FALSE), 1)</f>
        <v>6.541940142698212E-4</v>
      </c>
      <c r="Z13" s="7">
        <f>$B13 * IFERROR(VLOOKUP("buildings|SO2|Non-fatal heart attacks", US_national_yearly!$D:$AM, 34, FALSE) / VLOOKUP("buildings|SO2|Non-fatal heart attacks", US_national_yearly!$D:$AM, 10, FALSE), 1)</f>
        <v>6.5684963088427964E-4</v>
      </c>
      <c r="AA13" s="7">
        <f>$B13 * IFERROR(VLOOKUP("buildings|SO2|Non-fatal heart attacks", US_national_yearly!$D:$AM, 35, FALSE) / VLOOKUP("buildings|SO2|Non-fatal heart attacks", US_national_yearly!$D:$AM, 10, FALSE), 1)</f>
        <v>6.5950524749873842E-4</v>
      </c>
      <c r="AB13" s="7">
        <f>$B13 * IFERROR(VLOOKUP("buildings|SO2|Non-fatal heart attacks", US_national_yearly!$D:$AM, 36, FALSE) / VLOOKUP("buildings|SO2|Non-fatal heart attacks", US_national_yearly!$D:$AM, 10, FALSE), 1)</f>
        <v>6.6216086411319697E-4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0.32452812463124736</v>
      </c>
      <c r="C14" s="7">
        <f>$B14 * IFERROR(VLOOKUP("buildings|SO2|Minor restricted activity days", US_national_yearly!$D:$AM, 11, FALSE) / VLOOKUP("buildings|SO2|Minor restricted activity days", US_national_yearly!$D:$AM, 10, FALSE), 1)</f>
        <v>0.325349650483167</v>
      </c>
      <c r="D14" s="7">
        <f>$B14 * IFERROR(VLOOKUP("buildings|SO2|Minor restricted activity days", US_national_yearly!$D:$AM, 12, FALSE) / VLOOKUP("buildings|SO2|Minor restricted activity days", US_national_yearly!$D:$AM, 10, FALSE), 1)</f>
        <v>0.32617117633508669</v>
      </c>
      <c r="E14" s="7">
        <f>$B14 * IFERROR(VLOOKUP("buildings|SO2|Minor restricted activity days", US_national_yearly!$D:$AM, 13, FALSE) / VLOOKUP("buildings|SO2|Minor restricted activity days", US_national_yearly!$D:$AM, 10, FALSE), 1)</f>
        <v>0.32699270218700638</v>
      </c>
      <c r="F14" s="7">
        <f>$B14 * IFERROR(VLOOKUP("buildings|SO2|Minor restricted activity days", US_national_yearly!$D:$AM, 14, FALSE) / VLOOKUP("buildings|SO2|Minor restricted activity days", US_national_yearly!$D:$AM, 10, FALSE), 1)</f>
        <v>0.32781422803892601</v>
      </c>
      <c r="G14" s="7">
        <f>$B14 * IFERROR(VLOOKUP("buildings|SO2|Minor restricted activity days", US_national_yearly!$D:$AM, 15, FALSE) / VLOOKUP("buildings|SO2|Minor restricted activity days", US_national_yearly!$D:$AM, 10, FALSE), 1)</f>
        <v>0.32902219654939208</v>
      </c>
      <c r="H14" s="7">
        <f>$B14 * IFERROR(VLOOKUP("buildings|SO2|Minor restricted activity days", US_national_yearly!$D:$AM, 16, FALSE) / VLOOKUP("buildings|SO2|Minor restricted activity days", US_national_yearly!$D:$AM, 10, FALSE), 1)</f>
        <v>0.33023016505985808</v>
      </c>
      <c r="I14" s="7">
        <f>$B14 * IFERROR(VLOOKUP("buildings|SO2|Minor restricted activity days", US_national_yearly!$D:$AM, 17, FALSE) / VLOOKUP("buildings|SO2|Minor restricted activity days", US_national_yearly!$D:$AM, 10, FALSE), 1)</f>
        <v>0.33228745699778406</v>
      </c>
      <c r="J14" s="7">
        <f>$B14 * IFERROR(VLOOKUP("buildings|SO2|Minor restricted activity days", US_national_yearly!$D:$AM, 18, FALSE) / VLOOKUP("buildings|SO2|Minor restricted activity days", US_national_yearly!$D:$AM, 10, FALSE), 1)</f>
        <v>0.33434474893571009</v>
      </c>
      <c r="K14" s="7">
        <f>$B14 * IFERROR(VLOOKUP("buildings|SO2|Minor restricted activity days", US_national_yearly!$D:$AM, 19, FALSE) / VLOOKUP("buildings|SO2|Minor restricted activity days", US_national_yearly!$D:$AM, 10, FALSE), 1)</f>
        <v>0.33640204087363607</v>
      </c>
      <c r="L14" s="7">
        <f>$B14 * IFERROR(VLOOKUP("buildings|SO2|Minor restricted activity days", US_national_yearly!$D:$AM, 20, FALSE) / VLOOKUP("buildings|SO2|Minor restricted activity days", US_national_yearly!$D:$AM, 10, FALSE), 1)</f>
        <v>0.33845933281156204</v>
      </c>
      <c r="M14" s="7">
        <f>$B14 * IFERROR(VLOOKUP("buildings|SO2|Minor restricted activity days", US_national_yearly!$D:$AM, 21, FALSE) / VLOOKUP("buildings|SO2|Minor restricted activity days", US_national_yearly!$D:$AM, 10, FALSE), 1)</f>
        <v>0.34051662474948802</v>
      </c>
      <c r="N14" s="7">
        <f>$B14 * IFERROR(VLOOKUP("buildings|SO2|Minor restricted activity days", US_national_yearly!$D:$AM, 22, FALSE) / VLOOKUP("buildings|SO2|Minor restricted activity days", US_national_yearly!$D:$AM, 10, FALSE), 1)</f>
        <v>0.34332986336558113</v>
      </c>
      <c r="O14" s="7">
        <f>$B14 * IFERROR(VLOOKUP("buildings|SO2|Minor restricted activity days", US_national_yearly!$D:$AM, 23, FALSE) / VLOOKUP("buildings|SO2|Minor restricted activity days", US_national_yearly!$D:$AM, 10, FALSE), 1)</f>
        <v>0.34614310198167425</v>
      </c>
      <c r="P14" s="7">
        <f>$B14 * IFERROR(VLOOKUP("buildings|SO2|Minor restricted activity days", US_national_yearly!$D:$AM, 24, FALSE) / VLOOKUP("buildings|SO2|Minor restricted activity days", US_national_yearly!$D:$AM, 10, FALSE), 1)</f>
        <v>0.34895634059776726</v>
      </c>
      <c r="Q14" s="7">
        <f>$B14 * IFERROR(VLOOKUP("buildings|SO2|Minor restricted activity days", US_national_yearly!$D:$AM, 25, FALSE) / VLOOKUP("buildings|SO2|Minor restricted activity days", US_national_yearly!$D:$AM, 10, FALSE), 1)</f>
        <v>0.35176957921386037</v>
      </c>
      <c r="R14" s="7">
        <f>$B14 * IFERROR(VLOOKUP("buildings|SO2|Minor restricted activity days", US_national_yearly!$D:$AM, 26, FALSE) / VLOOKUP("buildings|SO2|Minor restricted activity days", US_national_yearly!$D:$AM, 10, FALSE), 1)</f>
        <v>0.35458281782995343</v>
      </c>
      <c r="S14" s="7">
        <f>$B14 * IFERROR(VLOOKUP("buildings|SO2|Minor restricted activity days", US_national_yearly!$D:$AM, 27, FALSE) / VLOOKUP("buildings|SO2|Minor restricted activity days", US_national_yearly!$D:$AM, 10, FALSE), 1)</f>
        <v>0.35745073195872906</v>
      </c>
      <c r="T14" s="7">
        <f>$B14 * IFERROR(VLOOKUP("buildings|SO2|Minor restricted activity days", US_national_yearly!$D:$AM, 28, FALSE) / VLOOKUP("buildings|SO2|Minor restricted activity days", US_national_yearly!$D:$AM, 10, FALSE), 1)</f>
        <v>0.36031864608750463</v>
      </c>
      <c r="U14" s="7">
        <f>$B14 * IFERROR(VLOOKUP("buildings|SO2|Minor restricted activity days", US_national_yearly!$D:$AM, 29, FALSE) / VLOOKUP("buildings|SO2|Minor restricted activity days", US_national_yearly!$D:$AM, 10, FALSE), 1)</f>
        <v>0.36318656021628026</v>
      </c>
      <c r="V14" s="7">
        <f>$B14 * IFERROR(VLOOKUP("buildings|SO2|Minor restricted activity days", US_national_yearly!$D:$AM, 30, FALSE) / VLOOKUP("buildings|SO2|Minor restricted activity days", US_national_yearly!$D:$AM, 10, FALSE), 1)</f>
        <v>0.36605447434505584</v>
      </c>
      <c r="W14" s="7">
        <f>$B14 * IFERROR(VLOOKUP("buildings|SO2|Minor restricted activity days", US_national_yearly!$D:$AM, 31, FALSE) / VLOOKUP("buildings|SO2|Minor restricted activity days", US_national_yearly!$D:$AM, 10, FALSE), 1)</f>
        <v>0.36892238847383152</v>
      </c>
      <c r="X14" s="7">
        <f>$B14 * IFERROR(VLOOKUP("buildings|SO2|Minor restricted activity days", US_national_yearly!$D:$AM, 32, FALSE) / VLOOKUP("buildings|SO2|Minor restricted activity days", US_national_yearly!$D:$AM, 10, FALSE), 1)</f>
        <v>0.3714445529811049</v>
      </c>
      <c r="Y14" s="7">
        <f>$B14 * IFERROR(VLOOKUP("buildings|SO2|Minor restricted activity days", US_national_yearly!$D:$AM, 33, FALSE) / VLOOKUP("buildings|SO2|Minor restricted activity days", US_national_yearly!$D:$AM, 10, FALSE), 1)</f>
        <v>0.3739667174883784</v>
      </c>
      <c r="Z14" s="7">
        <f>$B14 * IFERROR(VLOOKUP("buildings|SO2|Minor restricted activity days", US_national_yearly!$D:$AM, 34, FALSE) / VLOOKUP("buildings|SO2|Minor restricted activity days", US_national_yearly!$D:$AM, 10, FALSE), 1)</f>
        <v>0.37648888199565184</v>
      </c>
      <c r="AA14" s="7">
        <f>$B14 * IFERROR(VLOOKUP("buildings|SO2|Minor restricted activity days", US_national_yearly!$D:$AM, 35, FALSE) / VLOOKUP("buildings|SO2|Minor restricted activity days", US_national_yearly!$D:$AM, 10, FALSE), 1)</f>
        <v>0.37901104650292533</v>
      </c>
      <c r="AB14" s="7">
        <f>$B14 * IFERROR(VLOOKUP("buildings|SO2|Minor restricted activity days", US_national_yearly!$D:$AM, 36, FALSE) / VLOOKUP("buildings|SO2|Minor restricted activity days", US_national_yearly!$D:$AM, 10, FALSE), 1)</f>
        <v>0.38153321101019877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5.5096471936473483E-2</v>
      </c>
      <c r="C15" s="7">
        <f>$B15 * IFERROR(VLOOKUP("buildings|SO2|Work loss days", US_national_yearly!$D:$AM, 11, FALSE) / VLOOKUP("buildings|SO2|Work loss days", US_national_yearly!$D:$AM, 10, FALSE), 1)</f>
        <v>5.5275479476531157E-2</v>
      </c>
      <c r="D15" s="7">
        <f>$B15 * IFERROR(VLOOKUP("buildings|SO2|Work loss days", US_national_yearly!$D:$AM, 12, FALSE) / VLOOKUP("buildings|SO2|Work loss days", US_national_yearly!$D:$AM, 10, FALSE), 1)</f>
        <v>5.5454487016588831E-2</v>
      </c>
      <c r="E15" s="7">
        <f>$B15 * IFERROR(VLOOKUP("buildings|SO2|Work loss days", US_national_yearly!$D:$AM, 13, FALSE) / VLOOKUP("buildings|SO2|Work loss days", US_national_yearly!$D:$AM, 10, FALSE), 1)</f>
        <v>5.5633494556646505E-2</v>
      </c>
      <c r="F15" s="7">
        <f>$B15 * IFERROR(VLOOKUP("buildings|SO2|Work loss days", US_national_yearly!$D:$AM, 14, FALSE) / VLOOKUP("buildings|SO2|Work loss days", US_national_yearly!$D:$AM, 10, FALSE), 1)</f>
        <v>5.5812502096704165E-2</v>
      </c>
      <c r="G15" s="7">
        <f>$B15 * IFERROR(VLOOKUP("buildings|SO2|Work loss days", US_national_yearly!$D:$AM, 15, FALSE) / VLOOKUP("buildings|SO2|Work loss days", US_national_yearly!$D:$AM, 10, FALSE), 1)</f>
        <v>5.6046295850049895E-2</v>
      </c>
      <c r="H15" s="7">
        <f>$B15 * IFERROR(VLOOKUP("buildings|SO2|Work loss days", US_national_yearly!$D:$AM, 16, FALSE) / VLOOKUP("buildings|SO2|Work loss days", US_national_yearly!$D:$AM, 10, FALSE), 1)</f>
        <v>5.6280089603395644E-2</v>
      </c>
      <c r="I15" s="7">
        <f>$B15 * IFERROR(VLOOKUP("buildings|SO2|Work loss days", US_national_yearly!$D:$AM, 17, FALSE) / VLOOKUP("buildings|SO2|Work loss days", US_national_yearly!$D:$AM, 10, FALSE), 1)</f>
        <v>5.662190915672994E-2</v>
      </c>
      <c r="J15" s="7">
        <f>$B15 * IFERROR(VLOOKUP("buildings|SO2|Work loss days", US_national_yearly!$D:$AM, 18, FALSE) / VLOOKUP("buildings|SO2|Work loss days", US_national_yearly!$D:$AM, 10, FALSE), 1)</f>
        <v>5.6963728710064228E-2</v>
      </c>
      <c r="K15" s="7">
        <f>$B15 * IFERROR(VLOOKUP("buildings|SO2|Work loss days", US_national_yearly!$D:$AM, 19, FALSE) / VLOOKUP("buildings|SO2|Work loss days", US_national_yearly!$D:$AM, 10, FALSE), 1)</f>
        <v>5.7305548263398523E-2</v>
      </c>
      <c r="L15" s="7">
        <f>$B15 * IFERROR(VLOOKUP("buildings|SO2|Work loss days", US_national_yearly!$D:$AM, 20, FALSE) / VLOOKUP("buildings|SO2|Work loss days", US_national_yearly!$D:$AM, 10, FALSE), 1)</f>
        <v>5.7647367816732811E-2</v>
      </c>
      <c r="M15" s="7">
        <f>$B15 * IFERROR(VLOOKUP("buildings|SO2|Work loss days", US_national_yearly!$D:$AM, 21, FALSE) / VLOOKUP("buildings|SO2|Work loss days", US_national_yearly!$D:$AM, 10, FALSE), 1)</f>
        <v>5.7989187370067093E-2</v>
      </c>
      <c r="N15" s="7">
        <f>$B15 * IFERROR(VLOOKUP("buildings|SO2|Work loss days", US_national_yearly!$D:$AM, 22, FALSE) / VLOOKUP("buildings|SO2|Work loss days", US_national_yearly!$D:$AM, 10, FALSE), 1)</f>
        <v>5.8417823490504714E-2</v>
      </c>
      <c r="O15" s="7">
        <f>$B15 * IFERROR(VLOOKUP("buildings|SO2|Work loss days", US_national_yearly!$D:$AM, 23, FALSE) / VLOOKUP("buildings|SO2|Work loss days", US_national_yearly!$D:$AM, 10, FALSE), 1)</f>
        <v>5.8846459610942321E-2</v>
      </c>
      <c r="P15" s="7">
        <f>$B15 * IFERROR(VLOOKUP("buildings|SO2|Work loss days", US_national_yearly!$D:$AM, 24, FALSE) / VLOOKUP("buildings|SO2|Work loss days", US_national_yearly!$D:$AM, 10, FALSE), 1)</f>
        <v>5.9275095731379929E-2</v>
      </c>
      <c r="Q15" s="7">
        <f>$B15 * IFERROR(VLOOKUP("buildings|SO2|Work loss days", US_national_yearly!$D:$AM, 25, FALSE) / VLOOKUP("buildings|SO2|Work loss days", US_national_yearly!$D:$AM, 10, FALSE), 1)</f>
        <v>5.9703731851817543E-2</v>
      </c>
      <c r="R15" s="7">
        <f>$B15 * IFERROR(VLOOKUP("buildings|SO2|Work loss days", US_national_yearly!$D:$AM, 26, FALSE) / VLOOKUP("buildings|SO2|Work loss days", US_national_yearly!$D:$AM, 10, FALSE), 1)</f>
        <v>6.0132367972255144E-2</v>
      </c>
      <c r="S15" s="7">
        <f>$B15 * IFERROR(VLOOKUP("buildings|SO2|Work loss days", US_national_yearly!$D:$AM, 27, FALSE) / VLOOKUP("buildings|SO2|Work loss days", US_national_yearly!$D:$AM, 10, FALSE), 1)</f>
        <v>6.0611192064961378E-2</v>
      </c>
      <c r="T15" s="7">
        <f>$B15 * IFERROR(VLOOKUP("buildings|SO2|Work loss days", US_national_yearly!$D:$AM, 28, FALSE) / VLOOKUP("buildings|SO2|Work loss days", US_national_yearly!$D:$AM, 10, FALSE), 1)</f>
        <v>6.1090016157667612E-2</v>
      </c>
      <c r="U15" s="7">
        <f>$B15 * IFERROR(VLOOKUP("buildings|SO2|Work loss days", US_national_yearly!$D:$AM, 29, FALSE) / VLOOKUP("buildings|SO2|Work loss days", US_national_yearly!$D:$AM, 10, FALSE), 1)</f>
        <v>6.1568840250373846E-2</v>
      </c>
      <c r="V15" s="7">
        <f>$B15 * IFERROR(VLOOKUP("buildings|SO2|Work loss days", US_national_yearly!$D:$AM, 30, FALSE) / VLOOKUP("buildings|SO2|Work loss days", US_national_yearly!$D:$AM, 10, FALSE), 1)</f>
        <v>6.2047664343080067E-2</v>
      </c>
      <c r="W15" s="7">
        <f>$B15 * IFERROR(VLOOKUP("buildings|SO2|Work loss days", US_national_yearly!$D:$AM, 31, FALSE) / VLOOKUP("buildings|SO2|Work loss days", US_national_yearly!$D:$AM, 10, FALSE), 1)</f>
        <v>6.2526488435786301E-2</v>
      </c>
      <c r="X15" s="7">
        <f>$B15 * IFERROR(VLOOKUP("buildings|SO2|Work loss days", US_national_yearly!$D:$AM, 32, FALSE) / VLOOKUP("buildings|SO2|Work loss days", US_national_yearly!$D:$AM, 10, FALSE), 1)</f>
        <v>6.2956416030149509E-2</v>
      </c>
      <c r="Y15" s="7">
        <f>$B15 * IFERROR(VLOOKUP("buildings|SO2|Work loss days", US_national_yearly!$D:$AM, 33, FALSE) / VLOOKUP("buildings|SO2|Work loss days", US_national_yearly!$D:$AM, 10, FALSE), 1)</f>
        <v>6.3386343624512703E-2</v>
      </c>
      <c r="Z15" s="7">
        <f>$B15 * IFERROR(VLOOKUP("buildings|SO2|Work loss days", US_national_yearly!$D:$AM, 34, FALSE) / VLOOKUP("buildings|SO2|Work loss days", US_national_yearly!$D:$AM, 10, FALSE), 1)</f>
        <v>6.3816271218875897E-2</v>
      </c>
      <c r="AA15" s="7">
        <f>$B15 * IFERROR(VLOOKUP("buildings|SO2|Work loss days", US_national_yearly!$D:$AM, 35, FALSE) / VLOOKUP("buildings|SO2|Work loss days", US_national_yearly!$D:$AM, 10, FALSE), 1)</f>
        <v>6.4246198813239105E-2</v>
      </c>
      <c r="AB15" s="7">
        <f>$B15 * IFERROR(VLOOKUP("buildings|SO2|Work loss days", US_national_yearly!$D:$AM, 36, FALSE) / VLOOKUP("buildings|SO2|Work loss days", US_national_yearly!$D:$AM, 10, FALSE), 1)</f>
        <v>6.46761264076023E-2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1.1747799886413581E-4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1.2103163296710797E-4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1.2458526707008011E-4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1.281389011730523E-4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1.3169253527602444E-4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1.3509670388858421E-4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1.3850087250114398E-4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1.4141823814449865E-4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1.4433560378785329E-4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1.4725296943120795E-4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1.5017033507456261E-4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1.5308770071791722E-4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1.5504665328017767E-4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1.5700560584243809E-4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1.5896455840469853E-4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1.6092351096695892E-4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1.6288246352921937E-4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1.6391263529938712E-4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1.6494280706955491E-4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1.6597297883972264E-4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1.6700315060989043E-4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1.6803332238005816E-4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1.6872508503959607E-4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1.6941684769913393E-4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1.7010861035867181E-4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1.708003730182097E-4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1.7149213567774758E-4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1.6277320580804742E-2</v>
      </c>
      <c r="C2" s="7">
        <f>$B2 * IFERROR(VLOOKUP("industry|PM25|Premature mortality", US_national_yearly!$D:$AM, 11, FALSE) / VLOOKUP("industry|PM25|Premature mortality", US_national_yearly!$D:$AM, 10, FALSE), 1)</f>
        <v>1.6480026414601456E-2</v>
      </c>
      <c r="D2" s="7">
        <f>$B2 * IFERROR(VLOOKUP("industry|PM25|Premature mortality", US_national_yearly!$D:$AM, 12, FALSE) / VLOOKUP("industry|PM25|Premature mortality", US_national_yearly!$D:$AM, 10, FALSE), 1)</f>
        <v>1.6682732248398169E-2</v>
      </c>
      <c r="E2" s="7">
        <f>$B2 * IFERROR(VLOOKUP("industry|PM25|Premature mortality", US_national_yearly!$D:$AM, 13, FALSE) / VLOOKUP("industry|PM25|Premature mortality", US_national_yearly!$D:$AM, 10, FALSE), 1)</f>
        <v>1.6885438082194882E-2</v>
      </c>
      <c r="F2" s="7">
        <f>$B2 * IFERROR(VLOOKUP("industry|PM25|Premature mortality", US_national_yearly!$D:$AM, 14, FALSE) / VLOOKUP("industry|PM25|Premature mortality", US_national_yearly!$D:$AM, 10, FALSE), 1)</f>
        <v>1.7088143915991592E-2</v>
      </c>
      <c r="G2" s="7">
        <f>$B2 * IFERROR(VLOOKUP("industry|PM25|Premature mortality", US_national_yearly!$D:$AM, 15, FALSE) / VLOOKUP("industry|PM25|Premature mortality", US_national_yearly!$D:$AM, 10, FALSE), 1)</f>
        <v>1.7482504967125476E-2</v>
      </c>
      <c r="H2" s="7">
        <f>$B2 * IFERROR(VLOOKUP("industry|PM25|Premature mortality", US_national_yearly!$D:$AM, 16, FALSE) / VLOOKUP("industry|PM25|Premature mortality", US_national_yearly!$D:$AM, 10, FALSE), 1)</f>
        <v>1.7876866018259358E-2</v>
      </c>
      <c r="I2" s="7">
        <f>$B2 * IFERROR(VLOOKUP("industry|PM25|Premature mortality", US_national_yearly!$D:$AM, 17, FALSE) / VLOOKUP("industry|PM25|Premature mortality", US_national_yearly!$D:$AM, 10, FALSE), 1)</f>
        <v>1.8137261309339195E-2</v>
      </c>
      <c r="J2" s="7">
        <f>$B2 * IFERROR(VLOOKUP("industry|PM25|Premature mortality", US_national_yearly!$D:$AM, 18, FALSE) / VLOOKUP("industry|PM25|Premature mortality", US_national_yearly!$D:$AM, 10, FALSE), 1)</f>
        <v>1.8397656600419029E-2</v>
      </c>
      <c r="K2" s="7">
        <f>$B2 * IFERROR(VLOOKUP("industry|PM25|Premature mortality", US_national_yearly!$D:$AM, 19, FALSE) / VLOOKUP("industry|PM25|Premature mortality", US_national_yearly!$D:$AM, 10, FALSE), 1)</f>
        <v>1.8658051891498863E-2</v>
      </c>
      <c r="L2" s="7">
        <f>$B2 * IFERROR(VLOOKUP("industry|PM25|Premature mortality", US_national_yearly!$D:$AM, 20, FALSE) / VLOOKUP("industry|PM25|Premature mortality", US_national_yearly!$D:$AM, 10, FALSE), 1)</f>
        <v>1.8918447182578693E-2</v>
      </c>
      <c r="M2" s="7">
        <f>$B2 * IFERROR(VLOOKUP("industry|PM25|Premature mortality", US_national_yearly!$D:$AM, 21, FALSE) / VLOOKUP("industry|PM25|Premature mortality", US_national_yearly!$D:$AM, 10, FALSE), 1)</f>
        <v>1.9178842473658531E-2</v>
      </c>
      <c r="N2" s="7">
        <f>$B2 * IFERROR(VLOOKUP("industry|PM25|Premature mortality", US_national_yearly!$D:$AM, 22, FALSE) / VLOOKUP("industry|PM25|Premature mortality", US_national_yearly!$D:$AM, 10, FALSE), 1)</f>
        <v>1.9381712668390897E-2</v>
      </c>
      <c r="O2" s="7">
        <f>$B2 * IFERROR(VLOOKUP("industry|PM25|Premature mortality", US_national_yearly!$D:$AM, 23, FALSE) / VLOOKUP("industry|PM25|Premature mortality", US_national_yearly!$D:$AM, 10, FALSE), 1)</f>
        <v>1.958458286312326E-2</v>
      </c>
      <c r="P2" s="7">
        <f>$B2 * IFERROR(VLOOKUP("industry|PM25|Premature mortality", US_national_yearly!$D:$AM, 24, FALSE) / VLOOKUP("industry|PM25|Premature mortality", US_national_yearly!$D:$AM, 10, FALSE), 1)</f>
        <v>1.9787453057855627E-2</v>
      </c>
      <c r="Q2" s="7">
        <f>$B2 * IFERROR(VLOOKUP("industry|PM25|Premature mortality", US_national_yearly!$D:$AM, 25, FALSE) / VLOOKUP("industry|PM25|Premature mortality", US_national_yearly!$D:$AM, 10, FALSE), 1)</f>
        <v>1.9990323252587993E-2</v>
      </c>
      <c r="R2" s="7">
        <f>$B2 * IFERROR(VLOOKUP("industry|PM25|Premature mortality", US_national_yearly!$D:$AM, 26, FALSE) / VLOOKUP("industry|PM25|Premature mortality", US_national_yearly!$D:$AM, 10, FALSE), 1)</f>
        <v>2.0193193447320356E-2</v>
      </c>
      <c r="S2" s="7">
        <f>$B2 * IFERROR(VLOOKUP("industry|PM25|Premature mortality", US_national_yearly!$D:$AM, 27, FALSE) / VLOOKUP("industry|PM25|Premature mortality", US_national_yearly!$D:$AM, 10, FALSE), 1)</f>
        <v>2.0302735828076429E-2</v>
      </c>
      <c r="T2" s="7">
        <f>$B2 * IFERROR(VLOOKUP("industry|PM25|Premature mortality", US_national_yearly!$D:$AM, 28, FALSE) / VLOOKUP("industry|PM25|Premature mortality", US_national_yearly!$D:$AM, 10, FALSE), 1)</f>
        <v>2.0412278208832499E-2</v>
      </c>
      <c r="U2" s="7">
        <f>$B2 * IFERROR(VLOOKUP("industry|PM25|Premature mortality", US_national_yearly!$D:$AM, 29, FALSE) / VLOOKUP("industry|PM25|Premature mortality", US_national_yearly!$D:$AM, 10, FALSE), 1)</f>
        <v>2.0521820589588579E-2</v>
      </c>
      <c r="V2" s="7">
        <f>$B2 * IFERROR(VLOOKUP("industry|PM25|Premature mortality", US_national_yearly!$D:$AM, 30, FALSE) / VLOOKUP("industry|PM25|Premature mortality", US_national_yearly!$D:$AM, 10, FALSE), 1)</f>
        <v>2.0631362970344649E-2</v>
      </c>
      <c r="W2" s="7">
        <f>$B2 * IFERROR(VLOOKUP("industry|PM25|Premature mortality", US_national_yearly!$D:$AM, 31, FALSE) / VLOOKUP("industry|PM25|Premature mortality", US_national_yearly!$D:$AM, 10, FALSE), 1)</f>
        <v>2.0740905351100722E-2</v>
      </c>
      <c r="X2" s="7">
        <f>$B2 * IFERROR(VLOOKUP("industry|PM25|Premature mortality", US_national_yearly!$D:$AM, 32, FALSE) / VLOOKUP("industry|PM25|Premature mortality", US_national_yearly!$D:$AM, 10, FALSE), 1)</f>
        <v>2.0763522013195992E-2</v>
      </c>
      <c r="Y2" s="7">
        <f>$B2 * IFERROR(VLOOKUP("industry|PM25|Premature mortality", US_national_yearly!$D:$AM, 33, FALSE) / VLOOKUP("industry|PM25|Premature mortality", US_national_yearly!$D:$AM, 10, FALSE), 1)</f>
        <v>2.0786138675291273E-2</v>
      </c>
      <c r="Z2" s="7">
        <f>$B2 * IFERROR(VLOOKUP("industry|PM25|Premature mortality", US_national_yearly!$D:$AM, 34, FALSE) / VLOOKUP("industry|PM25|Premature mortality", US_national_yearly!$D:$AM, 10, FALSE), 1)</f>
        <v>2.0808755337386544E-2</v>
      </c>
      <c r="AA2" s="7">
        <f>$B2 * IFERROR(VLOOKUP("industry|PM25|Premature mortality", US_national_yearly!$D:$AM, 35, FALSE) / VLOOKUP("industry|PM25|Premature mortality", US_national_yearly!$D:$AM, 10, FALSE), 1)</f>
        <v>2.0831371999481822E-2</v>
      </c>
      <c r="AB2" s="7">
        <f>$B2 * IFERROR(VLOOKUP("industry|PM25|Premature mortality", US_national_yearly!$D:$AM, 36, FALSE) / VLOOKUP("industry|PM25|Premature mortality", US_national_yearly!$D:$AM, 10, FALSE), 1)</f>
        <v>2.0853988661577096E-2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4.0795852328674542E-5</v>
      </c>
      <c r="C3" s="7">
        <f>$B3 * IFERROR(VLOOKUP("industry|PM25|Infant mortality", US_national_yearly!$D:$AM, 11, FALSE) / VLOOKUP("industry|PM25|Infant mortality", US_national_yearly!$D:$AM, 10, FALSE), 1)</f>
        <v>4.0440649008778169E-5</v>
      </c>
      <c r="D3" s="7">
        <f>$B3 * IFERROR(VLOOKUP("industry|PM25|Infant mortality", US_national_yearly!$D:$AM, 12, FALSE) / VLOOKUP("industry|PM25|Infant mortality", US_national_yearly!$D:$AM, 10, FALSE), 1)</f>
        <v>4.0085445688881797E-5</v>
      </c>
      <c r="E3" s="7">
        <f>$B3 * IFERROR(VLOOKUP("industry|PM25|Infant mortality", US_national_yearly!$D:$AM, 13, FALSE) / VLOOKUP("industry|PM25|Infant mortality", US_national_yearly!$D:$AM, 10, FALSE), 1)</f>
        <v>3.973024236898541E-5</v>
      </c>
      <c r="F3" s="7">
        <f>$B3 * IFERROR(VLOOKUP("industry|PM25|Infant mortality", US_national_yearly!$D:$AM, 14, FALSE) / VLOOKUP("industry|PM25|Infant mortality", US_national_yearly!$D:$AM, 10, FALSE), 1)</f>
        <v>3.9375039049089037E-5</v>
      </c>
      <c r="G3" s="7">
        <f>$B3 * IFERROR(VLOOKUP("industry|PM25|Infant mortality", US_national_yearly!$D:$AM, 15, FALSE) / VLOOKUP("industry|PM25|Infant mortality", US_national_yearly!$D:$AM, 10, FALSE), 1)</f>
        <v>2.6162154187987774E-5</v>
      </c>
      <c r="H3" s="7">
        <f>$B3 * IFERROR(VLOOKUP("industry|PM25|Infant mortality", US_national_yearly!$D:$AM, 16, FALSE) / VLOOKUP("industry|PM25|Infant mortality", US_national_yearly!$D:$AM, 10, FALSE), 1)</f>
        <v>1.2949269326886504E-5</v>
      </c>
      <c r="I3" s="7">
        <f>$B3 * IFERROR(VLOOKUP("industry|PM25|Infant mortality", US_national_yearly!$D:$AM, 17, FALSE) / VLOOKUP("industry|PM25|Infant mortality", US_national_yearly!$D:$AM, 10, FALSE), 1)</f>
        <v>1.2863079167478519E-5</v>
      </c>
      <c r="J3" s="7">
        <f>$B3 * IFERROR(VLOOKUP("industry|PM25|Infant mortality", US_national_yearly!$D:$AM, 18, FALSE) / VLOOKUP("industry|PM25|Infant mortality", US_national_yearly!$D:$AM, 10, FALSE), 1)</f>
        <v>1.2776889008070531E-5</v>
      </c>
      <c r="K3" s="7">
        <f>$B3 * IFERROR(VLOOKUP("industry|PM25|Infant mortality", US_national_yearly!$D:$AM, 19, FALSE) / VLOOKUP("industry|PM25|Infant mortality", US_national_yearly!$D:$AM, 10, FALSE), 1)</f>
        <v>1.2690698848662544E-5</v>
      </c>
      <c r="L3" s="7">
        <f>$B3 * IFERROR(VLOOKUP("industry|PM25|Infant mortality", US_national_yearly!$D:$AM, 20, FALSE) / VLOOKUP("industry|PM25|Infant mortality", US_national_yearly!$D:$AM, 10, FALSE), 1)</f>
        <v>1.2604508689254556E-5</v>
      </c>
      <c r="M3" s="7">
        <f>$B3 * IFERROR(VLOOKUP("industry|PM25|Infant mortality", US_national_yearly!$D:$AM, 21, FALSE) / VLOOKUP("industry|PM25|Infant mortality", US_national_yearly!$D:$AM, 10, FALSE), 1)</f>
        <v>1.251831852984657E-5</v>
      </c>
      <c r="N3" s="7">
        <f>$B3 * IFERROR(VLOOKUP("industry|PM25|Infant mortality", US_national_yearly!$D:$AM, 22, FALSE) / VLOOKUP("industry|PM25|Infant mortality", US_national_yearly!$D:$AM, 10, FALSE), 1)</f>
        <v>1.2463320815021136E-5</v>
      </c>
      <c r="O3" s="7">
        <f>$B3 * IFERROR(VLOOKUP("industry|PM25|Infant mortality", US_national_yearly!$D:$AM, 23, FALSE) / VLOOKUP("industry|PM25|Infant mortality", US_national_yearly!$D:$AM, 10, FALSE), 1)</f>
        <v>1.2408323100195704E-5</v>
      </c>
      <c r="P3" s="7">
        <f>$B3 * IFERROR(VLOOKUP("industry|PM25|Infant mortality", US_national_yearly!$D:$AM, 24, FALSE) / VLOOKUP("industry|PM25|Infant mortality", US_national_yearly!$D:$AM, 10, FALSE), 1)</f>
        <v>1.2353325385370275E-5</v>
      </c>
      <c r="Q3" s="7">
        <f>$B3 * IFERROR(VLOOKUP("industry|PM25|Infant mortality", US_national_yearly!$D:$AM, 25, FALSE) / VLOOKUP("industry|PM25|Infant mortality", US_national_yearly!$D:$AM, 10, FALSE), 1)</f>
        <v>1.2298327670544842E-5</v>
      </c>
      <c r="R3" s="7">
        <f>$B3 * IFERROR(VLOOKUP("industry|PM25|Infant mortality", US_national_yearly!$D:$AM, 26, FALSE) / VLOOKUP("industry|PM25|Infant mortality", US_national_yearly!$D:$AM, 10, FALSE), 1)</f>
        <v>1.2243329955719408E-5</v>
      </c>
      <c r="S3" s="7">
        <f>$B3 * IFERROR(VLOOKUP("industry|PM25|Infant mortality", US_national_yearly!$D:$AM, 27, FALSE) / VLOOKUP("industry|PM25|Infant mortality", US_national_yearly!$D:$AM, 10, FALSE), 1)</f>
        <v>1.2175687732248127E-5</v>
      </c>
      <c r="T3" s="7">
        <f>$B3 * IFERROR(VLOOKUP("industry|PM25|Infant mortality", US_national_yearly!$D:$AM, 28, FALSE) / VLOOKUP("industry|PM25|Infant mortality", US_national_yearly!$D:$AM, 10, FALSE), 1)</f>
        <v>1.2108045508776846E-5</v>
      </c>
      <c r="U3" s="7">
        <f>$B3 * IFERROR(VLOOKUP("industry|PM25|Infant mortality", US_national_yearly!$D:$AM, 29, FALSE) / VLOOKUP("industry|PM25|Infant mortality", US_national_yearly!$D:$AM, 10, FALSE), 1)</f>
        <v>1.2040403285305564E-5</v>
      </c>
      <c r="V3" s="7">
        <f>$B3 * IFERROR(VLOOKUP("industry|PM25|Infant mortality", US_national_yearly!$D:$AM, 30, FALSE) / VLOOKUP("industry|PM25|Infant mortality", US_national_yearly!$D:$AM, 10, FALSE), 1)</f>
        <v>1.1972761061834284E-5</v>
      </c>
      <c r="W3" s="7">
        <f>$B3 * IFERROR(VLOOKUP("industry|PM25|Infant mortality", US_national_yearly!$D:$AM, 31, FALSE) / VLOOKUP("industry|PM25|Infant mortality", US_national_yearly!$D:$AM, 10, FALSE), 1)</f>
        <v>1.1905118838363004E-5</v>
      </c>
      <c r="X3" s="7">
        <f>$B3 * IFERROR(VLOOKUP("industry|PM25|Infant mortality", US_national_yearly!$D:$AM, 32, FALSE) / VLOOKUP("industry|PM25|Infant mortality", US_national_yearly!$D:$AM, 10, FALSE), 1)</f>
        <v>1.1832834646778535E-5</v>
      </c>
      <c r="Y3" s="7">
        <f>$B3 * IFERROR(VLOOKUP("industry|PM25|Infant mortality", US_national_yearly!$D:$AM, 33, FALSE) / VLOOKUP("industry|PM25|Infant mortality", US_national_yearly!$D:$AM, 10, FALSE), 1)</f>
        <v>1.1760550455194068E-5</v>
      </c>
      <c r="Z3" s="7">
        <f>$B3 * IFERROR(VLOOKUP("industry|PM25|Infant mortality", US_national_yearly!$D:$AM, 34, FALSE) / VLOOKUP("industry|PM25|Infant mortality", US_national_yearly!$D:$AM, 10, FALSE), 1)</f>
        <v>1.1688266263609601E-5</v>
      </c>
      <c r="AA3" s="7">
        <f>$B3 * IFERROR(VLOOKUP("industry|PM25|Infant mortality", US_national_yearly!$D:$AM, 35, FALSE) / VLOOKUP("industry|PM25|Infant mortality", US_national_yearly!$D:$AM, 10, FALSE), 1)</f>
        <v>1.1615982072025134E-5</v>
      </c>
      <c r="AB3" s="7">
        <f>$B3 * IFERROR(VLOOKUP("industry|PM25|Infant mortality", US_national_yearly!$D:$AM, 36, FALSE) / VLOOKUP("industry|PM25|Infant mortality", US_national_yearly!$D:$AM, 10, FALSE), 1)</f>
        <v>1.1543697880440666E-5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3.9380587002532413E-2</v>
      </c>
      <c r="C6" s="7">
        <f>$B6 * IFERROR(VLOOKUP("industry|PM25|Asthma symptoms cough", US_national_yearly!$D:$AM, 11, FALSE) / VLOOKUP("industry|PM25|Asthma symptoms cough", US_national_yearly!$D:$AM, 10, FALSE), 1)</f>
        <v>3.9380587002532413E-2</v>
      </c>
      <c r="D6" s="7">
        <f>$B6 * IFERROR(VLOOKUP("industry|PM25|Asthma symptoms cough", US_national_yearly!$D:$AM, 12, FALSE) / VLOOKUP("industry|PM25|Asthma symptoms cough", US_national_yearly!$D:$AM, 10, FALSE), 1)</f>
        <v>3.9380587002532413E-2</v>
      </c>
      <c r="E6" s="7">
        <f>$B6 * IFERROR(VLOOKUP("industry|PM25|Asthma symptoms cough", US_national_yearly!$D:$AM, 13, FALSE) / VLOOKUP("industry|PM25|Asthma symptoms cough", US_national_yearly!$D:$AM, 10, FALSE), 1)</f>
        <v>3.9380587002532413E-2</v>
      </c>
      <c r="F6" s="7">
        <f>$B6 * IFERROR(VLOOKUP("industry|PM25|Asthma symptoms cough", US_national_yearly!$D:$AM, 14, FALSE) / VLOOKUP("industry|PM25|Asthma symptoms cough", US_national_yearly!$D:$AM, 10, FALSE), 1)</f>
        <v>3.9380587002532413E-2</v>
      </c>
      <c r="G6" s="7">
        <f>$B6 * IFERROR(VLOOKUP("industry|PM25|Asthma symptoms cough", US_national_yearly!$D:$AM, 15, FALSE) / VLOOKUP("industry|PM25|Asthma symptoms cough", US_national_yearly!$D:$AM, 10, FALSE), 1)</f>
        <v>3.9380587002532413E-2</v>
      </c>
      <c r="H6" s="7">
        <f>$B6 * IFERROR(VLOOKUP("industry|PM25|Asthma symptoms cough", US_national_yearly!$D:$AM, 16, FALSE) / VLOOKUP("industry|PM25|Asthma symptoms cough", US_national_yearly!$D:$AM, 10, FALSE), 1)</f>
        <v>3.9380587002532413E-2</v>
      </c>
      <c r="I6" s="7">
        <f>$B6 * IFERROR(VLOOKUP("industry|PM25|Asthma symptoms cough", US_national_yearly!$D:$AM, 17, FALSE) / VLOOKUP("industry|PM25|Asthma symptoms cough", US_national_yearly!$D:$AM, 10, FALSE), 1)</f>
        <v>3.9380587002532413E-2</v>
      </c>
      <c r="J6" s="7">
        <f>$B6 * IFERROR(VLOOKUP("industry|PM25|Asthma symptoms cough", US_national_yearly!$D:$AM, 18, FALSE) / VLOOKUP("industry|PM25|Asthma symptoms cough", US_national_yearly!$D:$AM, 10, FALSE), 1)</f>
        <v>3.9380587002532413E-2</v>
      </c>
      <c r="K6" s="7">
        <f>$B6 * IFERROR(VLOOKUP("industry|PM25|Asthma symptoms cough", US_national_yearly!$D:$AM, 19, FALSE) / VLOOKUP("industry|PM25|Asthma symptoms cough", US_national_yearly!$D:$AM, 10, FALSE), 1)</f>
        <v>3.9380587002532413E-2</v>
      </c>
      <c r="L6" s="7">
        <f>$B6 * IFERROR(VLOOKUP("industry|PM25|Asthma symptoms cough", US_national_yearly!$D:$AM, 20, FALSE) / VLOOKUP("industry|PM25|Asthma symptoms cough", US_national_yearly!$D:$AM, 10, FALSE), 1)</f>
        <v>3.9380587002532413E-2</v>
      </c>
      <c r="M6" s="7">
        <f>$B6 * IFERROR(VLOOKUP("industry|PM25|Asthma symptoms cough", US_national_yearly!$D:$AM, 21, FALSE) / VLOOKUP("industry|PM25|Asthma symptoms cough", US_national_yearly!$D:$AM, 10, FALSE), 1)</f>
        <v>3.9380587002532413E-2</v>
      </c>
      <c r="N6" s="7">
        <f>$B6 * IFERROR(VLOOKUP("industry|PM25|Asthma symptoms cough", US_national_yearly!$D:$AM, 22, FALSE) / VLOOKUP("industry|PM25|Asthma symptoms cough", US_national_yearly!$D:$AM, 10, FALSE), 1)</f>
        <v>3.9380587002532413E-2</v>
      </c>
      <c r="O6" s="7">
        <f>$B6 * IFERROR(VLOOKUP("industry|PM25|Asthma symptoms cough", US_national_yearly!$D:$AM, 23, FALSE) / VLOOKUP("industry|PM25|Asthma symptoms cough", US_national_yearly!$D:$AM, 10, FALSE), 1)</f>
        <v>3.9380587002532413E-2</v>
      </c>
      <c r="P6" s="7">
        <f>$B6 * IFERROR(VLOOKUP("industry|PM25|Asthma symptoms cough", US_national_yearly!$D:$AM, 24, FALSE) / VLOOKUP("industry|PM25|Asthma symptoms cough", US_national_yearly!$D:$AM, 10, FALSE), 1)</f>
        <v>3.9380587002532413E-2</v>
      </c>
      <c r="Q6" s="7">
        <f>$B6 * IFERROR(VLOOKUP("industry|PM25|Asthma symptoms cough", US_national_yearly!$D:$AM, 25, FALSE) / VLOOKUP("industry|PM25|Asthma symptoms cough", US_national_yearly!$D:$AM, 10, FALSE), 1)</f>
        <v>3.9380587002532413E-2</v>
      </c>
      <c r="R6" s="7">
        <f>$B6 * IFERROR(VLOOKUP("industry|PM25|Asthma symptoms cough", US_national_yearly!$D:$AM, 26, FALSE) / VLOOKUP("industry|PM25|Asthma symptoms cough", US_national_yearly!$D:$AM, 10, FALSE), 1)</f>
        <v>3.9380587002532413E-2</v>
      </c>
      <c r="S6" s="7">
        <f>$B6 * IFERROR(VLOOKUP("industry|PM25|Asthma symptoms cough", US_national_yearly!$D:$AM, 27, FALSE) / VLOOKUP("industry|PM25|Asthma symptoms cough", US_national_yearly!$D:$AM, 10, FALSE), 1)</f>
        <v>3.9380587002532413E-2</v>
      </c>
      <c r="T6" s="7">
        <f>$B6 * IFERROR(VLOOKUP("industry|PM25|Asthma symptoms cough", US_national_yearly!$D:$AM, 28, FALSE) / VLOOKUP("industry|PM25|Asthma symptoms cough", US_national_yearly!$D:$AM, 10, FALSE), 1)</f>
        <v>3.9380587002532413E-2</v>
      </c>
      <c r="U6" s="7">
        <f>$B6 * IFERROR(VLOOKUP("industry|PM25|Asthma symptoms cough", US_national_yearly!$D:$AM, 29, FALSE) / VLOOKUP("industry|PM25|Asthma symptoms cough", US_national_yearly!$D:$AM, 10, FALSE), 1)</f>
        <v>3.9380587002532413E-2</v>
      </c>
      <c r="V6" s="7">
        <f>$B6 * IFERROR(VLOOKUP("industry|PM25|Asthma symptoms cough", US_national_yearly!$D:$AM, 30, FALSE) / VLOOKUP("industry|PM25|Asthma symptoms cough", US_national_yearly!$D:$AM, 10, FALSE), 1)</f>
        <v>3.9380587002532413E-2</v>
      </c>
      <c r="W6" s="7">
        <f>$B6 * IFERROR(VLOOKUP("industry|PM25|Asthma symptoms cough", US_national_yearly!$D:$AM, 31, FALSE) / VLOOKUP("industry|PM25|Asthma symptoms cough", US_national_yearly!$D:$AM, 10, FALSE), 1)</f>
        <v>3.9380587002532413E-2</v>
      </c>
      <c r="X6" s="7">
        <f>$B6 * IFERROR(VLOOKUP("industry|PM25|Asthma symptoms cough", US_national_yearly!$D:$AM, 32, FALSE) / VLOOKUP("industry|PM25|Asthma symptoms cough", US_national_yearly!$D:$AM, 10, FALSE), 1)</f>
        <v>3.9380587002532413E-2</v>
      </c>
      <c r="Y6" s="7">
        <f>$B6 * IFERROR(VLOOKUP("industry|PM25|Asthma symptoms cough", US_national_yearly!$D:$AM, 33, FALSE) / VLOOKUP("industry|PM25|Asthma symptoms cough", US_national_yearly!$D:$AM, 10, FALSE), 1)</f>
        <v>3.9380587002532413E-2</v>
      </c>
      <c r="Z6" s="7">
        <f>$B6 * IFERROR(VLOOKUP("industry|PM25|Asthma symptoms cough", US_national_yearly!$D:$AM, 34, FALSE) / VLOOKUP("industry|PM25|Asthma symptoms cough", US_national_yearly!$D:$AM, 10, FALSE), 1)</f>
        <v>3.9380587002532413E-2</v>
      </c>
      <c r="AA6" s="7">
        <f>$B6 * IFERROR(VLOOKUP("industry|PM25|Asthma symptoms cough", US_national_yearly!$D:$AM, 35, FALSE) / VLOOKUP("industry|PM25|Asthma symptoms cough", US_national_yearly!$D:$AM, 10, FALSE), 1)</f>
        <v>3.9380587002532413E-2</v>
      </c>
      <c r="AB6" s="7">
        <f>$B6 * IFERROR(VLOOKUP("industry|PM25|Asthma symptoms cough", US_national_yearly!$D:$AM, 36, FALSE) / VLOOKUP("industry|PM25|Asthma symptoms cough", US_national_yearly!$D:$AM, 10, FALSE), 1)</f>
        <v>3.9380587002532413E-2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5.3028864197775631E-2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5.3028864197775631E-2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5.3028864197775631E-2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5.3028864197775631E-2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5.3028864197775631E-2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5.3028864197775631E-2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5.3028864197775631E-2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5.3028864197775631E-2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5.3028864197775631E-2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5.3028864197775631E-2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5.3028864197775631E-2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5.3028864197775631E-2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5.3028864197775631E-2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5.3028864197775631E-2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5.3028864197775631E-2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5.3028864197775631E-2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5.3028864197775631E-2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5.3028864197775631E-2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5.3028864197775631E-2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5.3028864197775631E-2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5.3028864197775631E-2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5.3028864197775631E-2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5.3028864197775631E-2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5.3028864197775631E-2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5.3028864197775631E-2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5.3028864197775631E-2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5.3028864197775631E-2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8.1029134763440619E-2</v>
      </c>
      <c r="C8" s="7">
        <f>$B8 * IFERROR(VLOOKUP("industry|PM25|Asthma symptoms wheeze", US_national_yearly!$D:$AM, 11, FALSE) / VLOOKUP("industry|PM25|Asthma symptoms wheeze", US_national_yearly!$D:$AM, 10, FALSE), 1)</f>
        <v>8.1029134763440619E-2</v>
      </c>
      <c r="D8" s="7">
        <f>$B8 * IFERROR(VLOOKUP("industry|PM25|Asthma symptoms wheeze", US_national_yearly!$D:$AM, 12, FALSE) / VLOOKUP("industry|PM25|Asthma symptoms wheeze", US_national_yearly!$D:$AM, 10, FALSE), 1)</f>
        <v>8.1029134763440619E-2</v>
      </c>
      <c r="E8" s="7">
        <f>$B8 * IFERROR(VLOOKUP("industry|PM25|Asthma symptoms wheeze", US_national_yearly!$D:$AM, 13, FALSE) / VLOOKUP("industry|PM25|Asthma symptoms wheeze", US_national_yearly!$D:$AM, 10, FALSE), 1)</f>
        <v>8.1029134763440619E-2</v>
      </c>
      <c r="F8" s="7">
        <f>$B8 * IFERROR(VLOOKUP("industry|PM25|Asthma symptoms wheeze", US_national_yearly!$D:$AM, 14, FALSE) / VLOOKUP("industry|PM25|Asthma symptoms wheeze", US_national_yearly!$D:$AM, 10, FALSE), 1)</f>
        <v>8.1029134763440619E-2</v>
      </c>
      <c r="G8" s="7">
        <f>$B8 * IFERROR(VLOOKUP("industry|PM25|Asthma symptoms wheeze", US_national_yearly!$D:$AM, 15, FALSE) / VLOOKUP("industry|PM25|Asthma symptoms wheeze", US_national_yearly!$D:$AM, 10, FALSE), 1)</f>
        <v>8.1029134763440619E-2</v>
      </c>
      <c r="H8" s="7">
        <f>$B8 * IFERROR(VLOOKUP("industry|PM25|Asthma symptoms wheeze", US_national_yearly!$D:$AM, 16, FALSE) / VLOOKUP("industry|PM25|Asthma symptoms wheeze", US_national_yearly!$D:$AM, 10, FALSE), 1)</f>
        <v>8.1029134763440619E-2</v>
      </c>
      <c r="I8" s="7">
        <f>$B8 * IFERROR(VLOOKUP("industry|PM25|Asthma symptoms wheeze", US_national_yearly!$D:$AM, 17, FALSE) / VLOOKUP("industry|PM25|Asthma symptoms wheeze", US_national_yearly!$D:$AM, 10, FALSE), 1)</f>
        <v>8.1029134763440619E-2</v>
      </c>
      <c r="J8" s="7">
        <f>$B8 * IFERROR(VLOOKUP("industry|PM25|Asthma symptoms wheeze", US_national_yearly!$D:$AM, 18, FALSE) / VLOOKUP("industry|PM25|Asthma symptoms wheeze", US_national_yearly!$D:$AM, 10, FALSE), 1)</f>
        <v>8.1029134763440619E-2</v>
      </c>
      <c r="K8" s="7">
        <f>$B8 * IFERROR(VLOOKUP("industry|PM25|Asthma symptoms wheeze", US_national_yearly!$D:$AM, 19, FALSE) / VLOOKUP("industry|PM25|Asthma symptoms wheeze", US_national_yearly!$D:$AM, 10, FALSE), 1)</f>
        <v>8.1029134763440619E-2</v>
      </c>
      <c r="L8" s="7">
        <f>$B8 * IFERROR(VLOOKUP("industry|PM25|Asthma symptoms wheeze", US_national_yearly!$D:$AM, 20, FALSE) / VLOOKUP("industry|PM25|Asthma symptoms wheeze", US_national_yearly!$D:$AM, 10, FALSE), 1)</f>
        <v>8.1029134763440619E-2</v>
      </c>
      <c r="M8" s="7">
        <f>$B8 * IFERROR(VLOOKUP("industry|PM25|Asthma symptoms wheeze", US_national_yearly!$D:$AM, 21, FALSE) / VLOOKUP("industry|PM25|Asthma symptoms wheeze", US_national_yearly!$D:$AM, 10, FALSE), 1)</f>
        <v>8.1029134763440619E-2</v>
      </c>
      <c r="N8" s="7">
        <f>$B8 * IFERROR(VLOOKUP("industry|PM25|Asthma symptoms wheeze", US_national_yearly!$D:$AM, 22, FALSE) / VLOOKUP("industry|PM25|Asthma symptoms wheeze", US_national_yearly!$D:$AM, 10, FALSE), 1)</f>
        <v>8.1029134763440619E-2</v>
      </c>
      <c r="O8" s="7">
        <f>$B8 * IFERROR(VLOOKUP("industry|PM25|Asthma symptoms wheeze", US_national_yearly!$D:$AM, 23, FALSE) / VLOOKUP("industry|PM25|Asthma symptoms wheeze", US_national_yearly!$D:$AM, 10, FALSE), 1)</f>
        <v>8.1029134763440619E-2</v>
      </c>
      <c r="P8" s="7">
        <f>$B8 * IFERROR(VLOOKUP("industry|PM25|Asthma symptoms wheeze", US_national_yearly!$D:$AM, 24, FALSE) / VLOOKUP("industry|PM25|Asthma symptoms wheeze", US_national_yearly!$D:$AM, 10, FALSE), 1)</f>
        <v>8.1029134763440619E-2</v>
      </c>
      <c r="Q8" s="7">
        <f>$B8 * IFERROR(VLOOKUP("industry|PM25|Asthma symptoms wheeze", US_national_yearly!$D:$AM, 25, FALSE) / VLOOKUP("industry|PM25|Asthma symptoms wheeze", US_national_yearly!$D:$AM, 10, FALSE), 1)</f>
        <v>8.1029134763440619E-2</v>
      </c>
      <c r="R8" s="7">
        <f>$B8 * IFERROR(VLOOKUP("industry|PM25|Asthma symptoms wheeze", US_national_yearly!$D:$AM, 26, FALSE) / VLOOKUP("industry|PM25|Asthma symptoms wheeze", US_national_yearly!$D:$AM, 10, FALSE), 1)</f>
        <v>8.1029134763440619E-2</v>
      </c>
      <c r="S8" s="7">
        <f>$B8 * IFERROR(VLOOKUP("industry|PM25|Asthma symptoms wheeze", US_national_yearly!$D:$AM, 27, FALSE) / VLOOKUP("industry|PM25|Asthma symptoms wheeze", US_national_yearly!$D:$AM, 10, FALSE), 1)</f>
        <v>8.1029134763440619E-2</v>
      </c>
      <c r="T8" s="7">
        <f>$B8 * IFERROR(VLOOKUP("industry|PM25|Asthma symptoms wheeze", US_national_yearly!$D:$AM, 28, FALSE) / VLOOKUP("industry|PM25|Asthma symptoms wheeze", US_national_yearly!$D:$AM, 10, FALSE), 1)</f>
        <v>8.1029134763440619E-2</v>
      </c>
      <c r="U8" s="7">
        <f>$B8 * IFERROR(VLOOKUP("industry|PM25|Asthma symptoms wheeze", US_national_yearly!$D:$AM, 29, FALSE) / VLOOKUP("industry|PM25|Asthma symptoms wheeze", US_national_yearly!$D:$AM, 10, FALSE), 1)</f>
        <v>8.1029134763440619E-2</v>
      </c>
      <c r="V8" s="7">
        <f>$B8 * IFERROR(VLOOKUP("industry|PM25|Asthma symptoms wheeze", US_national_yearly!$D:$AM, 30, FALSE) / VLOOKUP("industry|PM25|Asthma symptoms wheeze", US_national_yearly!$D:$AM, 10, FALSE), 1)</f>
        <v>8.1029134763440619E-2</v>
      </c>
      <c r="W8" s="7">
        <f>$B8 * IFERROR(VLOOKUP("industry|PM25|Asthma symptoms wheeze", US_national_yearly!$D:$AM, 31, FALSE) / VLOOKUP("industry|PM25|Asthma symptoms wheeze", US_national_yearly!$D:$AM, 10, FALSE), 1)</f>
        <v>8.1029134763440619E-2</v>
      </c>
      <c r="X8" s="7">
        <f>$B8 * IFERROR(VLOOKUP("industry|PM25|Asthma symptoms wheeze", US_national_yearly!$D:$AM, 32, FALSE) / VLOOKUP("industry|PM25|Asthma symptoms wheeze", US_national_yearly!$D:$AM, 10, FALSE), 1)</f>
        <v>8.1029134763440619E-2</v>
      </c>
      <c r="Y8" s="7">
        <f>$B8 * IFERROR(VLOOKUP("industry|PM25|Asthma symptoms wheeze", US_national_yearly!$D:$AM, 33, FALSE) / VLOOKUP("industry|PM25|Asthma symptoms wheeze", US_national_yearly!$D:$AM, 10, FALSE), 1)</f>
        <v>8.1029134763440619E-2</v>
      </c>
      <c r="Z8" s="7">
        <f>$B8 * IFERROR(VLOOKUP("industry|PM25|Asthma symptoms wheeze", US_national_yearly!$D:$AM, 34, FALSE) / VLOOKUP("industry|PM25|Asthma symptoms wheeze", US_national_yearly!$D:$AM, 10, FALSE), 1)</f>
        <v>8.1029134763440619E-2</v>
      </c>
      <c r="AA8" s="7">
        <f>$B8 * IFERROR(VLOOKUP("industry|PM25|Asthma symptoms wheeze", US_national_yearly!$D:$AM, 35, FALSE) / VLOOKUP("industry|PM25|Asthma symptoms wheeze", US_national_yearly!$D:$AM, 10, FALSE), 1)</f>
        <v>8.1029134763440619E-2</v>
      </c>
      <c r="AB8" s="7">
        <f>$B8 * IFERROR(VLOOKUP("industry|PM25|Asthma symptoms wheeze", US_national_yearly!$D:$AM, 36, FALSE) / VLOOKUP("industry|PM25|Asthma symptoms wheeze", US_national_yearly!$D:$AM, 10, FALSE), 1)</f>
        <v>8.1029134763440619E-2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1.3860399681050568E-3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1.3939092982573071E-3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1.4017786284095577E-3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1.409647958561808E-3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1.4175172887140588E-3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1.4260255189355779E-3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1.434533749157097E-3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1.4426048759124479E-3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1.4506760026677986E-3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1.4587471294231493E-3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1.4668182561785E-3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1.4748893829338509E-3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1.4805978647964375E-3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1.4863063466590239E-3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1.4920148285216108E-3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1.4977233103841971E-3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1.5034317922467838E-3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1.5088158998880854E-3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1.5142000075293869E-3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1.5195841151706888E-3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1.5249682228119905E-3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1.5303523304532921E-3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1.5355364433366813E-3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1.5407205562200704E-3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1.5459046691034598E-3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1.5510887819868491E-3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1.5562728948702381E-3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7.6122045759876968E-3</v>
      </c>
      <c r="C13" s="7">
        <f>$B13 * IFERROR(VLOOKUP("industry|PM25|Non-fatal heart attacks", US_national_yearly!$D:$AM, 11, FALSE) / VLOOKUP("industry|PM25|Non-fatal heart attacks", US_national_yearly!$D:$AM, 10, FALSE), 1)</f>
        <v>7.8337978471597434E-3</v>
      </c>
      <c r="D13" s="7">
        <f>$B13 * IFERROR(VLOOKUP("industry|PM25|Non-fatal heart attacks", US_national_yearly!$D:$AM, 12, FALSE) / VLOOKUP("industry|PM25|Non-fatal heart attacks", US_national_yearly!$D:$AM, 10, FALSE), 1)</f>
        <v>8.0553911183317891E-3</v>
      </c>
      <c r="E13" s="7">
        <f>$B13 * IFERROR(VLOOKUP("industry|PM25|Non-fatal heart attacks", US_national_yearly!$D:$AM, 13, FALSE) / VLOOKUP("industry|PM25|Non-fatal heart attacks", US_national_yearly!$D:$AM, 10, FALSE), 1)</f>
        <v>8.2769843895038366E-3</v>
      </c>
      <c r="F13" s="7">
        <f>$B13 * IFERROR(VLOOKUP("industry|PM25|Non-fatal heart attacks", US_national_yearly!$D:$AM, 14, FALSE) / VLOOKUP("industry|PM25|Non-fatal heart attacks", US_national_yearly!$D:$AM, 10, FALSE), 1)</f>
        <v>8.498577660675884E-3</v>
      </c>
      <c r="G13" s="7">
        <f>$B13 * IFERROR(VLOOKUP("industry|PM25|Non-fatal heart attacks", US_national_yearly!$D:$AM, 15, FALSE) / VLOOKUP("industry|PM25|Non-fatal heart attacks", US_national_yearly!$D:$AM, 10, FALSE), 1)</f>
        <v>8.7077772896005604E-3</v>
      </c>
      <c r="H13" s="7">
        <f>$B13 * IFERROR(VLOOKUP("industry|PM25|Non-fatal heart attacks", US_national_yearly!$D:$AM, 16, FALSE) / VLOOKUP("industry|PM25|Non-fatal heart attacks", US_national_yearly!$D:$AM, 10, FALSE), 1)</f>
        <v>8.9169769185252386E-3</v>
      </c>
      <c r="I13" s="7">
        <f>$B13 * IFERROR(VLOOKUP("industry|PM25|Non-fatal heart attacks", US_national_yearly!$D:$AM, 17, FALSE) / VLOOKUP("industry|PM25|Non-fatal heart attacks", US_national_yearly!$D:$AM, 10, FALSE), 1)</f>
        <v>9.0859075508890989E-3</v>
      </c>
      <c r="J13" s="7">
        <f>$B13 * IFERROR(VLOOKUP("industry|PM25|Non-fatal heart attacks", US_national_yearly!$D:$AM, 18, FALSE) / VLOOKUP("industry|PM25|Non-fatal heart attacks", US_national_yearly!$D:$AM, 10, FALSE), 1)</f>
        <v>9.2548381832529558E-3</v>
      </c>
      <c r="K13" s="7">
        <f>$B13 * IFERROR(VLOOKUP("industry|PM25|Non-fatal heart attacks", US_national_yearly!$D:$AM, 19, FALSE) / VLOOKUP("industry|PM25|Non-fatal heart attacks", US_national_yearly!$D:$AM, 10, FALSE), 1)</f>
        <v>9.4237688156168144E-3</v>
      </c>
      <c r="L13" s="7">
        <f>$B13 * IFERROR(VLOOKUP("industry|PM25|Non-fatal heart attacks", US_national_yearly!$D:$AM, 20, FALSE) / VLOOKUP("industry|PM25|Non-fatal heart attacks", US_national_yearly!$D:$AM, 10, FALSE), 1)</f>
        <v>9.5926994479806713E-3</v>
      </c>
      <c r="M13" s="7">
        <f>$B13 * IFERROR(VLOOKUP("industry|PM25|Non-fatal heart attacks", US_national_yearly!$D:$AM, 21, FALSE) / VLOOKUP("industry|PM25|Non-fatal heart attacks", US_national_yearly!$D:$AM, 10, FALSE), 1)</f>
        <v>9.7616300803445299E-3</v>
      </c>
      <c r="N13" s="7">
        <f>$B13 * IFERROR(VLOOKUP("industry|PM25|Non-fatal heart attacks", US_national_yearly!$D:$AM, 22, FALSE) / VLOOKUP("industry|PM25|Non-fatal heart attacks", US_national_yearly!$D:$AM, 10, FALSE), 1)</f>
        <v>9.8708531420711176E-3</v>
      </c>
      <c r="O13" s="7">
        <f>$B13 * IFERROR(VLOOKUP("industry|PM25|Non-fatal heart attacks", US_national_yearly!$D:$AM, 23, FALSE) / VLOOKUP("industry|PM25|Non-fatal heart attacks", US_national_yearly!$D:$AM, 10, FALSE), 1)</f>
        <v>9.9800762037977036E-3</v>
      </c>
      <c r="P13" s="7">
        <f>$B13 * IFERROR(VLOOKUP("industry|PM25|Non-fatal heart attacks", US_national_yearly!$D:$AM, 24, FALSE) / VLOOKUP("industry|PM25|Non-fatal heart attacks", US_national_yearly!$D:$AM, 10, FALSE), 1)</f>
        <v>1.0089299265524291E-2</v>
      </c>
      <c r="Q13" s="7">
        <f>$B13 * IFERROR(VLOOKUP("industry|PM25|Non-fatal heart attacks", US_national_yearly!$D:$AM, 25, FALSE) / VLOOKUP("industry|PM25|Non-fatal heart attacks", US_national_yearly!$D:$AM, 10, FALSE), 1)</f>
        <v>1.0198522327250877E-2</v>
      </c>
      <c r="R13" s="7">
        <f>$B13 * IFERROR(VLOOKUP("industry|PM25|Non-fatal heart attacks", US_national_yearly!$D:$AM, 26, FALSE) / VLOOKUP("industry|PM25|Non-fatal heart attacks", US_national_yearly!$D:$AM, 10, FALSE), 1)</f>
        <v>1.0307745388977463E-2</v>
      </c>
      <c r="S13" s="7">
        <f>$B13 * IFERROR(VLOOKUP("industry|PM25|Non-fatal heart attacks", US_national_yearly!$D:$AM, 27, FALSE) / VLOOKUP("industry|PM25|Non-fatal heart attacks", US_national_yearly!$D:$AM, 10, FALSE), 1)</f>
        <v>1.036608184016273E-2</v>
      </c>
      <c r="T13" s="7">
        <f>$B13 * IFERROR(VLOOKUP("industry|PM25|Non-fatal heart attacks", US_national_yearly!$D:$AM, 28, FALSE) / VLOOKUP("industry|PM25|Non-fatal heart attacks", US_national_yearly!$D:$AM, 10, FALSE), 1)</f>
        <v>1.0424418291347999E-2</v>
      </c>
      <c r="U13" s="7">
        <f>$B13 * IFERROR(VLOOKUP("industry|PM25|Non-fatal heart attacks", US_national_yearly!$D:$AM, 29, FALSE) / VLOOKUP("industry|PM25|Non-fatal heart attacks", US_national_yearly!$D:$AM, 10, FALSE), 1)</f>
        <v>1.0482754742533268E-2</v>
      </c>
      <c r="V13" s="7">
        <f>$B13 * IFERROR(VLOOKUP("industry|PM25|Non-fatal heart attacks", US_national_yearly!$D:$AM, 30, FALSE) / VLOOKUP("industry|PM25|Non-fatal heart attacks", US_national_yearly!$D:$AM, 10, FALSE), 1)</f>
        <v>1.0541091193718533E-2</v>
      </c>
      <c r="W13" s="7">
        <f>$B13 * IFERROR(VLOOKUP("industry|PM25|Non-fatal heart attacks", US_national_yearly!$D:$AM, 31, FALSE) / VLOOKUP("industry|PM25|Non-fatal heart attacks", US_national_yearly!$D:$AM, 10, FALSE), 1)</f>
        <v>1.0599427644903802E-2</v>
      </c>
      <c r="X13" s="7">
        <f>$B13 * IFERROR(VLOOKUP("industry|PM25|Non-fatal heart attacks", US_national_yearly!$D:$AM, 32, FALSE) / VLOOKUP("industry|PM25|Non-fatal heart attacks", US_national_yearly!$D:$AM, 10, FALSE), 1)</f>
        <v>1.0644451341472461E-2</v>
      </c>
      <c r="Y13" s="7">
        <f>$B13 * IFERROR(VLOOKUP("industry|PM25|Non-fatal heart attacks", US_national_yearly!$D:$AM, 33, FALSE) / VLOOKUP("industry|PM25|Non-fatal heart attacks", US_national_yearly!$D:$AM, 10, FALSE), 1)</f>
        <v>1.0689475038041117E-2</v>
      </c>
      <c r="Z13" s="7">
        <f>$B13 * IFERROR(VLOOKUP("industry|PM25|Non-fatal heart attacks", US_national_yearly!$D:$AM, 34, FALSE) / VLOOKUP("industry|PM25|Non-fatal heart attacks", US_national_yearly!$D:$AM, 10, FALSE), 1)</f>
        <v>1.0734498734609776E-2</v>
      </c>
      <c r="AA13" s="7">
        <f>$B13 * IFERROR(VLOOKUP("industry|PM25|Non-fatal heart attacks", US_national_yearly!$D:$AM, 35, FALSE) / VLOOKUP("industry|PM25|Non-fatal heart attacks", US_national_yearly!$D:$AM, 10, FALSE), 1)</f>
        <v>1.0779522431178435E-2</v>
      </c>
      <c r="AB13" s="7">
        <f>$B13 * IFERROR(VLOOKUP("industry|PM25|Non-fatal heart attacks", US_national_yearly!$D:$AM, 36, FALSE) / VLOOKUP("industry|PM25|Non-fatal heart attacks", US_national_yearly!$D:$AM, 10, FALSE), 1)</f>
        <v>1.0824546127747093E-2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4.8443165946709845</v>
      </c>
      <c r="C14" s="7">
        <f>$B14 * IFERROR(VLOOKUP("industry|PM25|Minor restricted activity days", US_national_yearly!$D:$AM, 11, FALSE) / VLOOKUP("industry|PM25|Minor restricted activity days", US_national_yearly!$D:$AM, 10, FALSE), 1)</f>
        <v>4.8561811289848231</v>
      </c>
      <c r="D14" s="7">
        <f>$B14 * IFERROR(VLOOKUP("industry|PM25|Minor restricted activity days", US_national_yearly!$D:$AM, 12, FALSE) / VLOOKUP("industry|PM25|Minor restricted activity days", US_national_yearly!$D:$AM, 10, FALSE), 1)</f>
        <v>4.8680456632986626</v>
      </c>
      <c r="E14" s="7">
        <f>$B14 * IFERROR(VLOOKUP("industry|PM25|Minor restricted activity days", US_national_yearly!$D:$AM, 13, FALSE) / VLOOKUP("industry|PM25|Minor restricted activity days", US_national_yearly!$D:$AM, 10, FALSE), 1)</f>
        <v>4.8799101976125012</v>
      </c>
      <c r="F14" s="7">
        <f>$B14 * IFERROR(VLOOKUP("industry|PM25|Minor restricted activity days", US_national_yearly!$D:$AM, 14, FALSE) / VLOOKUP("industry|PM25|Minor restricted activity days", US_national_yearly!$D:$AM, 10, FALSE), 1)</f>
        <v>4.8917747319263398</v>
      </c>
      <c r="G14" s="7">
        <f>$B14 * IFERROR(VLOOKUP("industry|PM25|Minor restricted activity days", US_national_yearly!$D:$AM, 15, FALSE) / VLOOKUP("industry|PM25|Minor restricted activity days", US_national_yearly!$D:$AM, 10, FALSE), 1)</f>
        <v>4.9091899399720864</v>
      </c>
      <c r="H14" s="7">
        <f>$B14 * IFERROR(VLOOKUP("industry|PM25|Minor restricted activity days", US_national_yearly!$D:$AM, 16, FALSE) / VLOOKUP("industry|PM25|Minor restricted activity days", US_national_yearly!$D:$AM, 10, FALSE), 1)</f>
        <v>4.9266051480178321</v>
      </c>
      <c r="I14" s="7">
        <f>$B14 * IFERROR(VLOOKUP("industry|PM25|Minor restricted activity days", US_national_yearly!$D:$AM, 17, FALSE) / VLOOKUP("industry|PM25|Minor restricted activity days", US_national_yearly!$D:$AM, 10, FALSE), 1)</f>
        <v>4.9561891085601788</v>
      </c>
      <c r="J14" s="7">
        <f>$B14 * IFERROR(VLOOKUP("industry|PM25|Minor restricted activity days", US_national_yearly!$D:$AM, 18, FALSE) / VLOOKUP("industry|PM25|Minor restricted activity days", US_national_yearly!$D:$AM, 10, FALSE), 1)</f>
        <v>4.9857730691025264</v>
      </c>
      <c r="K14" s="7">
        <f>$B14 * IFERROR(VLOOKUP("industry|PM25|Minor restricted activity days", US_national_yearly!$D:$AM, 19, FALSE) / VLOOKUP("industry|PM25|Minor restricted activity days", US_national_yearly!$D:$AM, 10, FALSE), 1)</f>
        <v>5.0153570296448722</v>
      </c>
      <c r="L14" s="7">
        <f>$B14 * IFERROR(VLOOKUP("industry|PM25|Minor restricted activity days", US_national_yearly!$D:$AM, 20, FALSE) / VLOOKUP("industry|PM25|Minor restricted activity days", US_national_yearly!$D:$AM, 10, FALSE), 1)</f>
        <v>5.0449409901872189</v>
      </c>
      <c r="M14" s="7">
        <f>$B14 * IFERROR(VLOOKUP("industry|PM25|Minor restricted activity days", US_national_yearly!$D:$AM, 21, FALSE) / VLOOKUP("industry|PM25|Minor restricted activity days", US_national_yearly!$D:$AM, 10, FALSE), 1)</f>
        <v>5.0745249507295656</v>
      </c>
      <c r="N14" s="7">
        <f>$B14 * IFERROR(VLOOKUP("industry|PM25|Minor restricted activity days", US_national_yearly!$D:$AM, 22, FALSE) / VLOOKUP("industry|PM25|Minor restricted activity days", US_national_yearly!$D:$AM, 10, FALSE), 1)</f>
        <v>5.1149395619781934</v>
      </c>
      <c r="O14" s="7">
        <f>$B14 * IFERROR(VLOOKUP("industry|PM25|Minor restricted activity days", US_national_yearly!$D:$AM, 23, FALSE) / VLOOKUP("industry|PM25|Minor restricted activity days", US_national_yearly!$D:$AM, 10, FALSE), 1)</f>
        <v>5.1553541732268258</v>
      </c>
      <c r="P14" s="7">
        <f>$B14 * IFERROR(VLOOKUP("industry|PM25|Minor restricted activity days", US_national_yearly!$D:$AM, 24, FALSE) / VLOOKUP("industry|PM25|Minor restricted activity days", US_national_yearly!$D:$AM, 10, FALSE), 1)</f>
        <v>5.1957687844754536</v>
      </c>
      <c r="Q14" s="7">
        <f>$B14 * IFERROR(VLOOKUP("industry|PM25|Minor restricted activity days", US_national_yearly!$D:$AM, 25, FALSE) / VLOOKUP("industry|PM25|Minor restricted activity days", US_national_yearly!$D:$AM, 10, FALSE), 1)</f>
        <v>5.236183395724086</v>
      </c>
      <c r="R14" s="7">
        <f>$B14 * IFERROR(VLOOKUP("industry|PM25|Minor restricted activity days", US_national_yearly!$D:$AM, 26, FALSE) / VLOOKUP("industry|PM25|Minor restricted activity days", US_national_yearly!$D:$AM, 10, FALSE), 1)</f>
        <v>5.2765980069727139</v>
      </c>
      <c r="S14" s="7">
        <f>$B14 * IFERROR(VLOOKUP("industry|PM25|Minor restricted activity days", US_national_yearly!$D:$AM, 27, FALSE) / VLOOKUP("industry|PM25|Minor restricted activity days", US_national_yearly!$D:$AM, 10, FALSE), 1)</f>
        <v>5.3174006142953631</v>
      </c>
      <c r="T14" s="7">
        <f>$B14 * IFERROR(VLOOKUP("industry|PM25|Minor restricted activity days", US_national_yearly!$D:$AM, 28, FALSE) / VLOOKUP("industry|PM25|Minor restricted activity days", US_national_yearly!$D:$AM, 10, FALSE), 1)</f>
        <v>5.3582032216180133</v>
      </c>
      <c r="U14" s="7">
        <f>$B14 * IFERROR(VLOOKUP("industry|PM25|Minor restricted activity days", US_national_yearly!$D:$AM, 29, FALSE) / VLOOKUP("industry|PM25|Minor restricted activity days", US_national_yearly!$D:$AM, 10, FALSE), 1)</f>
        <v>5.3990058289406617</v>
      </c>
      <c r="V14" s="7">
        <f>$B14 * IFERROR(VLOOKUP("industry|PM25|Minor restricted activity days", US_national_yearly!$D:$AM, 30, FALSE) / VLOOKUP("industry|PM25|Minor restricted activity days", US_national_yearly!$D:$AM, 10, FALSE), 1)</f>
        <v>5.439808436263311</v>
      </c>
      <c r="W14" s="7">
        <f>$B14 * IFERROR(VLOOKUP("industry|PM25|Minor restricted activity days", US_national_yearly!$D:$AM, 31, FALSE) / VLOOKUP("industry|PM25|Minor restricted activity days", US_national_yearly!$D:$AM, 10, FALSE), 1)</f>
        <v>5.4806110435859612</v>
      </c>
      <c r="X14" s="7">
        <f>$B14 * IFERROR(VLOOKUP("industry|PM25|Minor restricted activity days", US_national_yearly!$D:$AM, 32, FALSE) / VLOOKUP("industry|PM25|Minor restricted activity days", US_national_yearly!$D:$AM, 10, FALSE), 1)</f>
        <v>5.5160670150363025</v>
      </c>
      <c r="Y14" s="7">
        <f>$B14 * IFERROR(VLOOKUP("industry|PM25|Minor restricted activity days", US_national_yearly!$D:$AM, 33, FALSE) / VLOOKUP("industry|PM25|Minor restricted activity days", US_national_yearly!$D:$AM, 10, FALSE), 1)</f>
        <v>5.5515229864866456</v>
      </c>
      <c r="Z14" s="7">
        <f>$B14 * IFERROR(VLOOKUP("industry|PM25|Minor restricted activity days", US_national_yearly!$D:$AM, 34, FALSE) / VLOOKUP("industry|PM25|Minor restricted activity days", US_national_yearly!$D:$AM, 10, FALSE), 1)</f>
        <v>5.5869789579369877</v>
      </c>
      <c r="AA14" s="7">
        <f>$B14 * IFERROR(VLOOKUP("industry|PM25|Minor restricted activity days", US_national_yearly!$D:$AM, 35, FALSE) / VLOOKUP("industry|PM25|Minor restricted activity days", US_national_yearly!$D:$AM, 10, FALSE), 1)</f>
        <v>5.6224349293873308</v>
      </c>
      <c r="AB14" s="7">
        <f>$B14 * IFERROR(VLOOKUP("industry|PM25|Minor restricted activity days", US_national_yearly!$D:$AM, 36, FALSE) / VLOOKUP("industry|PM25|Minor restricted activity days", US_national_yearly!$D:$AM, 10, FALSE), 1)</f>
        <v>5.6578909008376739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0.82235001010111475</v>
      </c>
      <c r="C15" s="7">
        <f>$B15 * IFERROR(VLOOKUP("industry|PM25|Work loss days", US_national_yearly!$D:$AM, 11, FALSE) / VLOOKUP("industry|PM25|Work loss days", US_national_yearly!$D:$AM, 10, FALSE), 1)</f>
        <v>0.82489962530555905</v>
      </c>
      <c r="D15" s="7">
        <f>$B15 * IFERROR(VLOOKUP("industry|PM25|Work loss days", US_national_yearly!$D:$AM, 12, FALSE) / VLOOKUP("industry|PM25|Work loss days", US_national_yearly!$D:$AM, 10, FALSE), 1)</f>
        <v>0.82744924051000335</v>
      </c>
      <c r="E15" s="7">
        <f>$B15 * IFERROR(VLOOKUP("industry|PM25|Work loss days", US_national_yearly!$D:$AM, 13, FALSE) / VLOOKUP("industry|PM25|Work loss days", US_national_yearly!$D:$AM, 10, FALSE), 1)</f>
        <v>0.82999885571444743</v>
      </c>
      <c r="F15" s="7">
        <f>$B15 * IFERROR(VLOOKUP("industry|PM25|Work loss days", US_national_yearly!$D:$AM, 14, FALSE) / VLOOKUP("industry|PM25|Work loss days", US_national_yearly!$D:$AM, 10, FALSE), 1)</f>
        <v>0.83254847091889173</v>
      </c>
      <c r="G15" s="7">
        <f>$B15 * IFERROR(VLOOKUP("industry|PM25|Work loss days", US_national_yearly!$D:$AM, 15, FALSE) / VLOOKUP("industry|PM25|Work loss days", US_national_yearly!$D:$AM, 10, FALSE), 1)</f>
        <v>0.83587710520279213</v>
      </c>
      <c r="H15" s="7">
        <f>$B15 * IFERROR(VLOOKUP("industry|PM25|Work loss days", US_national_yearly!$D:$AM, 16, FALSE) / VLOOKUP("industry|PM25|Work loss days", US_national_yearly!$D:$AM, 10, FALSE), 1)</f>
        <v>0.83920573948669253</v>
      </c>
      <c r="I15" s="7">
        <f>$B15 * IFERROR(VLOOKUP("industry|PM25|Work loss days", US_national_yearly!$D:$AM, 17, FALSE) / VLOOKUP("industry|PM25|Work loss days", US_national_yearly!$D:$AM, 10, FALSE), 1)</f>
        <v>0.84407991946217609</v>
      </c>
      <c r="J15" s="7">
        <f>$B15 * IFERROR(VLOOKUP("industry|PM25|Work loss days", US_national_yearly!$D:$AM, 18, FALSE) / VLOOKUP("industry|PM25|Work loss days", US_national_yearly!$D:$AM, 10, FALSE), 1)</f>
        <v>0.84895409943765965</v>
      </c>
      <c r="K15" s="7">
        <f>$B15 * IFERROR(VLOOKUP("industry|PM25|Work loss days", US_national_yearly!$D:$AM, 19, FALSE) / VLOOKUP("industry|PM25|Work loss days", US_national_yearly!$D:$AM, 10, FALSE), 1)</f>
        <v>0.8538282794131431</v>
      </c>
      <c r="L15" s="7">
        <f>$B15 * IFERROR(VLOOKUP("industry|PM25|Work loss days", US_national_yearly!$D:$AM, 20, FALSE) / VLOOKUP("industry|PM25|Work loss days", US_national_yearly!$D:$AM, 10, FALSE), 1)</f>
        <v>0.85870245938862666</v>
      </c>
      <c r="M15" s="7">
        <f>$B15 * IFERROR(VLOOKUP("industry|PM25|Work loss days", US_national_yearly!$D:$AM, 21, FALSE) / VLOOKUP("industry|PM25|Work loss days", US_national_yearly!$D:$AM, 10, FALSE), 1)</f>
        <v>0.86357663936411022</v>
      </c>
      <c r="N15" s="7">
        <f>$B15 * IFERROR(VLOOKUP("industry|PM25|Work loss days", US_national_yearly!$D:$AM, 22, FALSE) / VLOOKUP("industry|PM25|Work loss days", US_national_yearly!$D:$AM, 10, FALSE), 1)</f>
        <v>0.86972721471861048</v>
      </c>
      <c r="O15" s="7">
        <f>$B15 * IFERROR(VLOOKUP("industry|PM25|Work loss days", US_national_yearly!$D:$AM, 23, FALSE) / VLOOKUP("industry|PM25|Work loss days", US_national_yearly!$D:$AM, 10, FALSE), 1)</f>
        <v>0.87587779007311062</v>
      </c>
      <c r="P15" s="7">
        <f>$B15 * IFERROR(VLOOKUP("industry|PM25|Work loss days", US_national_yearly!$D:$AM, 24, FALSE) / VLOOKUP("industry|PM25|Work loss days", US_national_yearly!$D:$AM, 10, FALSE), 1)</f>
        <v>0.88202836542761065</v>
      </c>
      <c r="Q15" s="7">
        <f>$B15 * IFERROR(VLOOKUP("industry|PM25|Work loss days", US_national_yearly!$D:$AM, 25, FALSE) / VLOOKUP("industry|PM25|Work loss days", US_national_yearly!$D:$AM, 10, FALSE), 1)</f>
        <v>0.88817894078211079</v>
      </c>
      <c r="R15" s="7">
        <f>$B15 * IFERROR(VLOOKUP("industry|PM25|Work loss days", US_national_yearly!$D:$AM, 26, FALSE) / VLOOKUP("industry|PM25|Work loss days", US_national_yearly!$D:$AM, 10, FALSE), 1)</f>
        <v>0.89432951613661082</v>
      </c>
      <c r="S15" s="7">
        <f>$B15 * IFERROR(VLOOKUP("industry|PM25|Work loss days", US_national_yearly!$D:$AM, 27, FALSE) / VLOOKUP("industry|PM25|Work loss days", US_national_yearly!$D:$AM, 10, FALSE), 1)</f>
        <v>0.90114963224706024</v>
      </c>
      <c r="T15" s="7">
        <f>$B15 * IFERROR(VLOOKUP("industry|PM25|Work loss days", US_national_yearly!$D:$AM, 28, FALSE) / VLOOKUP("industry|PM25|Work loss days", US_national_yearly!$D:$AM, 10, FALSE), 1)</f>
        <v>0.90796974835750954</v>
      </c>
      <c r="U15" s="7">
        <f>$B15 * IFERROR(VLOOKUP("industry|PM25|Work loss days", US_national_yearly!$D:$AM, 29, FALSE) / VLOOKUP("industry|PM25|Work loss days", US_national_yearly!$D:$AM, 10, FALSE), 1)</f>
        <v>0.91478986446795885</v>
      </c>
      <c r="V15" s="7">
        <f>$B15 * IFERROR(VLOOKUP("industry|PM25|Work loss days", US_national_yearly!$D:$AM, 30, FALSE) / VLOOKUP("industry|PM25|Work loss days", US_national_yearly!$D:$AM, 10, FALSE), 1)</f>
        <v>0.92160998057840815</v>
      </c>
      <c r="W15" s="7">
        <f>$B15 * IFERROR(VLOOKUP("industry|PM25|Work loss days", US_national_yearly!$D:$AM, 31, FALSE) / VLOOKUP("industry|PM25|Work loss days", US_national_yearly!$D:$AM, 10, FALSE), 1)</f>
        <v>0.92843009668885768</v>
      </c>
      <c r="X15" s="7">
        <f>$B15 * IFERROR(VLOOKUP("industry|PM25|Work loss days", US_national_yearly!$D:$AM, 32, FALSE) / VLOOKUP("industry|PM25|Work loss days", US_national_yearly!$D:$AM, 10, FALSE), 1)</f>
        <v>0.93449066663032265</v>
      </c>
      <c r="Y15" s="7">
        <f>$B15 * IFERROR(VLOOKUP("industry|PM25|Work loss days", US_national_yearly!$D:$AM, 33, FALSE) / VLOOKUP("industry|PM25|Work loss days", US_national_yearly!$D:$AM, 10, FALSE), 1)</f>
        <v>0.94055123657178774</v>
      </c>
      <c r="Z15" s="7">
        <f>$B15 * IFERROR(VLOOKUP("industry|PM25|Work loss days", US_national_yearly!$D:$AM, 34, FALSE) / VLOOKUP("industry|PM25|Work loss days", US_national_yearly!$D:$AM, 10, FALSE), 1)</f>
        <v>0.94661180651325283</v>
      </c>
      <c r="AA15" s="7">
        <f>$B15 * IFERROR(VLOOKUP("industry|PM25|Work loss days", US_national_yearly!$D:$AM, 35, FALSE) / VLOOKUP("industry|PM25|Work loss days", US_national_yearly!$D:$AM, 10, FALSE), 1)</f>
        <v>0.95267237645471781</v>
      </c>
      <c r="AB15" s="7">
        <f>$B15 * IFERROR(VLOOKUP("industry|PM25|Work loss days", US_national_yearly!$D:$AM, 36, FALSE) / VLOOKUP("industry|PM25|Work loss days", US_national_yearly!$D:$AM, 10, FALSE), 1)</f>
        <v>0.95873294639618289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1.9177116642758413E-3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1.9750716496386108E-3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2.0324316350013804E-3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2.0897916203641499E-3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2.1471516057269191E-3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2.2021270172631596E-3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2.2571024287993992E-3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2.3043036373395359E-3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2.3515048458796727E-3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2.3987060544198098E-3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2.4459072629599466E-3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2.4931084715000833E-3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2.5246390567604275E-3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2.5561696420207708E-3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2.587700227281115E-3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2.6192308125414588E-3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2.6507613978018025E-3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2.6676547207505597E-3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2.6845480436993164E-3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2.7014413666480741E-3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2.7183346895968304E-3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2.7352280125455875E-3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2.7468285654444554E-3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2.7584291183433223E-3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2.7700296712421897E-3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2.7816302241410566E-3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2.7932307770399244E-3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1.9793098298844522E-4</v>
      </c>
      <c r="C2" s="7">
        <f>$B2 * IFERROR(VLOOKUP("industry|NOx|Premature mortality", US_national_yearly!$D:$AM, 11, FALSE) / VLOOKUP("industry|NOx|Premature mortality", US_national_yearly!$D:$AM, 10, FALSE), 1)</f>
        <v>2.0085773648127248E-4</v>
      </c>
      <c r="D2" s="7">
        <f>$B2 * IFERROR(VLOOKUP("industry|NOx|Premature mortality", US_national_yearly!$D:$AM, 12, FALSE) / VLOOKUP("industry|NOx|Premature mortality", US_national_yearly!$D:$AM, 10, FALSE), 1)</f>
        <v>2.0378448997409977E-4</v>
      </c>
      <c r="E2" s="7">
        <f>$B2 * IFERROR(VLOOKUP("industry|NOx|Premature mortality", US_national_yearly!$D:$AM, 13, FALSE) / VLOOKUP("industry|NOx|Premature mortality", US_national_yearly!$D:$AM, 10, FALSE), 1)</f>
        <v>2.0671124346692701E-4</v>
      </c>
      <c r="F2" s="7">
        <f>$B2 * IFERROR(VLOOKUP("industry|NOx|Premature mortality", US_national_yearly!$D:$AM, 14, FALSE) / VLOOKUP("industry|NOx|Premature mortality", US_national_yearly!$D:$AM, 10, FALSE), 1)</f>
        <v>2.0963799695975429E-4</v>
      </c>
      <c r="G2" s="7">
        <f>$B2 * IFERROR(VLOOKUP("industry|NOx|Premature mortality", US_national_yearly!$D:$AM, 15, FALSE) / VLOOKUP("industry|NOx|Premature mortality", US_national_yearly!$D:$AM, 10, FALSE), 1)</f>
        <v>2.1488676199033193E-4</v>
      </c>
      <c r="H2" s="7">
        <f>$B2 * IFERROR(VLOOKUP("industry|NOx|Premature mortality", US_national_yearly!$D:$AM, 16, FALSE) / VLOOKUP("industry|NOx|Premature mortality", US_national_yearly!$D:$AM, 10, FALSE), 1)</f>
        <v>2.2013552702090957E-4</v>
      </c>
      <c r="I2" s="7">
        <f>$B2 * IFERROR(VLOOKUP("industry|NOx|Premature mortality", US_national_yearly!$D:$AM, 17, FALSE) / VLOOKUP("industry|NOx|Premature mortality", US_national_yearly!$D:$AM, 10, FALSE), 1)</f>
        <v>2.2354057750919895E-4</v>
      </c>
      <c r="J2" s="7">
        <f>$B2 * IFERROR(VLOOKUP("industry|NOx|Premature mortality", US_national_yearly!$D:$AM, 18, FALSE) / VLOOKUP("industry|NOx|Premature mortality", US_national_yearly!$D:$AM, 10, FALSE), 1)</f>
        <v>2.2694562799748831E-4</v>
      </c>
      <c r="K2" s="7">
        <f>$B2 * IFERROR(VLOOKUP("industry|NOx|Premature mortality", US_national_yearly!$D:$AM, 19, FALSE) / VLOOKUP("industry|NOx|Premature mortality", US_national_yearly!$D:$AM, 10, FALSE), 1)</f>
        <v>2.3035067848577772E-4</v>
      </c>
      <c r="L2" s="7">
        <f>$B2 * IFERROR(VLOOKUP("industry|NOx|Premature mortality", US_national_yearly!$D:$AM, 20, FALSE) / VLOOKUP("industry|NOx|Premature mortality", US_national_yearly!$D:$AM, 10, FALSE), 1)</f>
        <v>2.3375572897406708E-4</v>
      </c>
      <c r="M2" s="7">
        <f>$B2 * IFERROR(VLOOKUP("industry|NOx|Premature mortality", US_national_yearly!$D:$AM, 21, FALSE) / VLOOKUP("industry|NOx|Premature mortality", US_national_yearly!$D:$AM, 10, FALSE), 1)</f>
        <v>2.3716077946235646E-4</v>
      </c>
      <c r="N2" s="7">
        <f>$B2 * IFERROR(VLOOKUP("industry|NOx|Premature mortality", US_national_yearly!$D:$AM, 22, FALSE) / VLOOKUP("industry|NOx|Premature mortality", US_national_yearly!$D:$AM, 10, FALSE), 1)</f>
        <v>2.3969458135220394E-4</v>
      </c>
      <c r="O2" s="7">
        <f>$B2 * IFERROR(VLOOKUP("industry|NOx|Premature mortality", US_national_yearly!$D:$AM, 23, FALSE) / VLOOKUP("industry|NOx|Premature mortality", US_national_yearly!$D:$AM, 10, FALSE), 1)</f>
        <v>2.4222838324205136E-4</v>
      </c>
      <c r="P2" s="7">
        <f>$B2 * IFERROR(VLOOKUP("industry|NOx|Premature mortality", US_national_yearly!$D:$AM, 24, FALSE) / VLOOKUP("industry|NOx|Premature mortality", US_national_yearly!$D:$AM, 10, FALSE), 1)</f>
        <v>2.4476218513189873E-4</v>
      </c>
      <c r="Q2" s="7">
        <f>$B2 * IFERROR(VLOOKUP("industry|NOx|Premature mortality", US_national_yearly!$D:$AM, 25, FALSE) / VLOOKUP("industry|NOx|Premature mortality", US_national_yearly!$D:$AM, 10, FALSE), 1)</f>
        <v>2.4729598702174621E-4</v>
      </c>
      <c r="R2" s="7">
        <f>$B2 * IFERROR(VLOOKUP("industry|NOx|Premature mortality", US_national_yearly!$D:$AM, 26, FALSE) / VLOOKUP("industry|NOx|Premature mortality", US_national_yearly!$D:$AM, 10, FALSE), 1)</f>
        <v>2.4982978891159363E-4</v>
      </c>
      <c r="S2" s="7">
        <f>$B2 * IFERROR(VLOOKUP("industry|NOx|Premature mortality", US_national_yearly!$D:$AM, 27, FALSE) / VLOOKUP("industry|NOx|Premature mortality", US_national_yearly!$D:$AM, 10, FALSE), 1)</f>
        <v>2.5100968004843478E-4</v>
      </c>
      <c r="T2" s="7">
        <f>$B2 * IFERROR(VLOOKUP("industry|NOx|Premature mortality", US_national_yearly!$D:$AM, 28, FALSE) / VLOOKUP("industry|NOx|Premature mortality", US_national_yearly!$D:$AM, 10, FALSE), 1)</f>
        <v>2.5218957118527594E-4</v>
      </c>
      <c r="U2" s="7">
        <f>$B2 * IFERROR(VLOOKUP("industry|NOx|Premature mortality", US_national_yearly!$D:$AM, 29, FALSE) / VLOOKUP("industry|NOx|Premature mortality", US_national_yearly!$D:$AM, 10, FALSE), 1)</f>
        <v>2.5336946232211704E-4</v>
      </c>
      <c r="V2" s="7">
        <f>$B2 * IFERROR(VLOOKUP("industry|NOx|Premature mortality", US_national_yearly!$D:$AM, 30, FALSE) / VLOOKUP("industry|NOx|Premature mortality", US_national_yearly!$D:$AM, 10, FALSE), 1)</f>
        <v>2.5454935345895819E-4</v>
      </c>
      <c r="W2" s="7">
        <f>$B2 * IFERROR(VLOOKUP("industry|NOx|Premature mortality", US_national_yearly!$D:$AM, 31, FALSE) / VLOOKUP("industry|NOx|Premature mortality", US_national_yearly!$D:$AM, 10, FALSE), 1)</f>
        <v>2.5572924459579929E-4</v>
      </c>
      <c r="X2" s="7">
        <f>$B2 * IFERROR(VLOOKUP("industry|NOx|Premature mortality", US_national_yearly!$D:$AM, 32, FALSE) / VLOOKUP("industry|NOx|Premature mortality", US_national_yearly!$D:$AM, 10, FALSE), 1)</f>
        <v>2.5581941564997653E-4</v>
      </c>
      <c r="Y2" s="7">
        <f>$B2 * IFERROR(VLOOKUP("industry|NOx|Premature mortality", US_national_yearly!$D:$AM, 33, FALSE) / VLOOKUP("industry|NOx|Premature mortality", US_national_yearly!$D:$AM, 10, FALSE), 1)</f>
        <v>2.5590958670415376E-4</v>
      </c>
      <c r="Z2" s="7">
        <f>$B2 * IFERROR(VLOOKUP("industry|NOx|Premature mortality", US_national_yearly!$D:$AM, 34, FALSE) / VLOOKUP("industry|NOx|Premature mortality", US_national_yearly!$D:$AM, 10, FALSE), 1)</f>
        <v>2.5599975775833099E-4</v>
      </c>
      <c r="AA2" s="7">
        <f>$B2 * IFERROR(VLOOKUP("industry|NOx|Premature mortality", US_national_yearly!$D:$AM, 35, FALSE) / VLOOKUP("industry|NOx|Premature mortality", US_national_yearly!$D:$AM, 10, FALSE), 1)</f>
        <v>2.5608992881250817E-4</v>
      </c>
      <c r="AB2" s="7">
        <f>$B2 * IFERROR(VLOOKUP("industry|NOx|Premature mortality", US_national_yearly!$D:$AM, 36, FALSE) / VLOOKUP("industry|NOx|Premature mortality", US_national_yearly!$D:$AM, 10, FALSE), 1)</f>
        <v>2.561800998666854E-4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4.6831861421919905E-7</v>
      </c>
      <c r="C3" s="7">
        <f>$B3 * IFERROR(VLOOKUP("industry|NOx|Infant mortality", US_national_yearly!$D:$AM, 11, FALSE) / VLOOKUP("industry|NOx|Infant mortality", US_national_yearly!$D:$AM, 10, FALSE), 1)</f>
        <v>4.6383360533266371E-7</v>
      </c>
      <c r="D3" s="7">
        <f>$B3 * IFERROR(VLOOKUP("industry|NOx|Infant mortality", US_national_yearly!$D:$AM, 12, FALSE) / VLOOKUP("industry|NOx|Infant mortality", US_national_yearly!$D:$AM, 10, FALSE), 1)</f>
        <v>4.5934859644612827E-7</v>
      </c>
      <c r="E3" s="7">
        <f>$B3 * IFERROR(VLOOKUP("industry|NOx|Infant mortality", US_national_yearly!$D:$AM, 13, FALSE) / VLOOKUP("industry|NOx|Infant mortality", US_national_yearly!$D:$AM, 10, FALSE), 1)</f>
        <v>4.5486358755959293E-7</v>
      </c>
      <c r="F3" s="7">
        <f>$B3 * IFERROR(VLOOKUP("industry|NOx|Infant mortality", US_national_yearly!$D:$AM, 14, FALSE) / VLOOKUP("industry|NOx|Infant mortality", US_national_yearly!$D:$AM, 10, FALSE), 1)</f>
        <v>4.5037857867305753E-7</v>
      </c>
      <c r="G3" s="7">
        <f>$B3 * IFERROR(VLOOKUP("industry|NOx|Infant mortality", US_national_yearly!$D:$AM, 15, FALSE) / VLOOKUP("industry|NOx|Infant mortality", US_national_yearly!$D:$AM, 10, FALSE), 1)</f>
        <v>2.9873081279855869E-7</v>
      </c>
      <c r="H3" s="7">
        <f>$B3 * IFERROR(VLOOKUP("industry|NOx|Infant mortality", US_national_yearly!$D:$AM, 16, FALSE) / VLOOKUP("industry|NOx|Infant mortality", US_national_yearly!$D:$AM, 10, FALSE), 1)</f>
        <v>1.4708304692405993E-7</v>
      </c>
      <c r="I3" s="7">
        <f>$B3 * IFERROR(VLOOKUP("industry|NOx|Infant mortality", US_national_yearly!$D:$AM, 17, FALSE) / VLOOKUP("industry|NOx|Infant mortality", US_national_yearly!$D:$AM, 10, FALSE), 1)</f>
        <v>1.4602264166076114E-7</v>
      </c>
      <c r="J3" s="7">
        <f>$B3 * IFERROR(VLOOKUP("industry|NOx|Infant mortality", US_national_yearly!$D:$AM, 18, FALSE) / VLOOKUP("industry|NOx|Infant mortality", US_national_yearly!$D:$AM, 10, FALSE), 1)</f>
        <v>1.4496223639746238E-7</v>
      </c>
      <c r="K3" s="7">
        <f>$B3 * IFERROR(VLOOKUP("industry|NOx|Infant mortality", US_national_yearly!$D:$AM, 19, FALSE) / VLOOKUP("industry|NOx|Infant mortality", US_national_yearly!$D:$AM, 10, FALSE), 1)</f>
        <v>1.439018311341636E-7</v>
      </c>
      <c r="L3" s="7">
        <f>$B3 * IFERROR(VLOOKUP("industry|NOx|Infant mortality", US_national_yearly!$D:$AM, 20, FALSE) / VLOOKUP("industry|NOx|Infant mortality", US_national_yearly!$D:$AM, 10, FALSE), 1)</f>
        <v>1.4284142587086481E-7</v>
      </c>
      <c r="M3" s="7">
        <f>$B3 * IFERROR(VLOOKUP("industry|NOx|Infant mortality", US_national_yearly!$D:$AM, 21, FALSE) / VLOOKUP("industry|NOx|Infant mortality", US_national_yearly!$D:$AM, 10, FALSE), 1)</f>
        <v>1.4178102060756602E-7</v>
      </c>
      <c r="N3" s="7">
        <f>$B3 * IFERROR(VLOOKUP("industry|NOx|Infant mortality", US_national_yearly!$D:$AM, 22, FALSE) / VLOOKUP("industry|NOx|Infant mortality", US_national_yearly!$D:$AM, 10, FALSE), 1)</f>
        <v>1.4106656737281482E-7</v>
      </c>
      <c r="O3" s="7">
        <f>$B3 * IFERROR(VLOOKUP("industry|NOx|Infant mortality", US_national_yearly!$D:$AM, 23, FALSE) / VLOOKUP("industry|NOx|Infant mortality", US_national_yearly!$D:$AM, 10, FALSE), 1)</f>
        <v>1.4035211413806359E-7</v>
      </c>
      <c r="P3" s="7">
        <f>$B3 * IFERROR(VLOOKUP("industry|NOx|Infant mortality", US_national_yearly!$D:$AM, 24, FALSE) / VLOOKUP("industry|NOx|Infant mortality", US_national_yearly!$D:$AM, 10, FALSE), 1)</f>
        <v>1.3963766090331239E-7</v>
      </c>
      <c r="Q3" s="7">
        <f>$B3 * IFERROR(VLOOKUP("industry|NOx|Infant mortality", US_national_yearly!$D:$AM, 25, FALSE) / VLOOKUP("industry|NOx|Infant mortality", US_national_yearly!$D:$AM, 10, FALSE), 1)</f>
        <v>1.3892320766856116E-7</v>
      </c>
      <c r="R3" s="7">
        <f>$B3 * IFERROR(VLOOKUP("industry|NOx|Infant mortality", US_national_yearly!$D:$AM, 26, FALSE) / VLOOKUP("industry|NOx|Infant mortality", US_national_yearly!$D:$AM, 10, FALSE), 1)</f>
        <v>1.3820875443380996E-7</v>
      </c>
      <c r="S3" s="7">
        <f>$B3 * IFERROR(VLOOKUP("industry|NOx|Infant mortality", US_national_yearly!$D:$AM, 27, FALSE) / VLOOKUP("industry|NOx|Infant mortality", US_national_yearly!$D:$AM, 10, FALSE), 1)</f>
        <v>1.3736035399059187E-7</v>
      </c>
      <c r="T3" s="7">
        <f>$B3 * IFERROR(VLOOKUP("industry|NOx|Infant mortality", US_national_yearly!$D:$AM, 28, FALSE) / VLOOKUP("industry|NOx|Infant mortality", US_national_yearly!$D:$AM, 10, FALSE), 1)</f>
        <v>1.3651195354737375E-7</v>
      </c>
      <c r="U3" s="7">
        <f>$B3 * IFERROR(VLOOKUP("industry|NOx|Infant mortality", US_national_yearly!$D:$AM, 29, FALSE) / VLOOKUP("industry|NOx|Infant mortality", US_national_yearly!$D:$AM, 10, FALSE), 1)</f>
        <v>1.3566355310415565E-7</v>
      </c>
      <c r="V3" s="7">
        <f>$B3 * IFERROR(VLOOKUP("industry|NOx|Infant mortality", US_national_yearly!$D:$AM, 30, FALSE) / VLOOKUP("industry|NOx|Infant mortality", US_national_yearly!$D:$AM, 10, FALSE), 1)</f>
        <v>1.3481515266093753E-7</v>
      </c>
      <c r="W3" s="7">
        <f>$B3 * IFERROR(VLOOKUP("industry|NOx|Infant mortality", US_national_yearly!$D:$AM, 31, FALSE) / VLOOKUP("industry|NOx|Infant mortality", US_national_yearly!$D:$AM, 10, FALSE), 1)</f>
        <v>1.3396675221771947E-7</v>
      </c>
      <c r="X3" s="7">
        <f>$B3 * IFERROR(VLOOKUP("industry|NOx|Infant mortality", US_national_yearly!$D:$AM, 32, FALSE) / VLOOKUP("industry|NOx|Infant mortality", US_national_yearly!$D:$AM, 10, FALSE), 1)</f>
        <v>1.3307583781059564E-7</v>
      </c>
      <c r="Y3" s="7">
        <f>$B3 * IFERROR(VLOOKUP("industry|NOx|Infant mortality", US_national_yearly!$D:$AM, 33, FALSE) / VLOOKUP("industry|NOx|Infant mortality", US_national_yearly!$D:$AM, 10, FALSE), 1)</f>
        <v>1.3218492340347181E-7</v>
      </c>
      <c r="Z3" s="7">
        <f>$B3 * IFERROR(VLOOKUP("industry|NOx|Infant mortality", US_national_yearly!$D:$AM, 34, FALSE) / VLOOKUP("industry|NOx|Infant mortality", US_national_yearly!$D:$AM, 10, FALSE), 1)</f>
        <v>1.3129400899634801E-7</v>
      </c>
      <c r="AA3" s="7">
        <f>$B3 * IFERROR(VLOOKUP("industry|NOx|Infant mortality", US_national_yearly!$D:$AM, 35, FALSE) / VLOOKUP("industry|NOx|Infant mortality", US_national_yearly!$D:$AM, 10, FALSE), 1)</f>
        <v>1.3040309458922421E-7</v>
      </c>
      <c r="AB3" s="7">
        <f>$B3 * IFERROR(VLOOKUP("industry|NOx|Infant mortality", US_national_yearly!$D:$AM, 36, FALSE) / VLOOKUP("industry|NOx|Infant mortality", US_national_yearly!$D:$AM, 10, FALSE), 1)</f>
        <v>1.295121801821004E-7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4.4543618051019447E-4</v>
      </c>
      <c r="C6" s="7">
        <f>$B6 * IFERROR(VLOOKUP("industry|NOx|Asthma symptoms cough", US_national_yearly!$D:$AM, 11, FALSE) / VLOOKUP("industry|NOx|Asthma symptoms cough", US_national_yearly!$D:$AM, 10, FALSE), 1)</f>
        <v>4.5152989860410339E-4</v>
      </c>
      <c r="D6" s="7">
        <f>$B6 * IFERROR(VLOOKUP("industry|NOx|Asthma symptoms cough", US_national_yearly!$D:$AM, 12, FALSE) / VLOOKUP("industry|NOx|Asthma symptoms cough", US_national_yearly!$D:$AM, 10, FALSE), 1)</f>
        <v>4.5762361669801231E-4</v>
      </c>
      <c r="E6" s="7">
        <f>$B6 * IFERROR(VLOOKUP("industry|NOx|Asthma symptoms cough", US_national_yearly!$D:$AM, 13, FALSE) / VLOOKUP("industry|NOx|Asthma symptoms cough", US_national_yearly!$D:$AM, 10, FALSE), 1)</f>
        <v>4.6371733479192123E-4</v>
      </c>
      <c r="F6" s="7">
        <f>$B6 * IFERROR(VLOOKUP("industry|NOx|Asthma symptoms cough", US_national_yearly!$D:$AM, 14, FALSE) / VLOOKUP("industry|NOx|Asthma symptoms cough", US_national_yearly!$D:$AM, 10, FALSE), 1)</f>
        <v>4.6981105288583015E-4</v>
      </c>
      <c r="G6" s="7">
        <f>$B6 * IFERROR(VLOOKUP("industry|NOx|Asthma symptoms cough", US_national_yearly!$D:$AM, 15, FALSE) / VLOOKUP("industry|NOx|Asthma symptoms cough", US_national_yearly!$D:$AM, 10, FALSE), 1)</f>
        <v>4.7469726943326747E-4</v>
      </c>
      <c r="H6" s="7">
        <f>$B6 * IFERROR(VLOOKUP("industry|NOx|Asthma symptoms cough", US_national_yearly!$D:$AM, 16, FALSE) / VLOOKUP("industry|NOx|Asthma symptoms cough", US_national_yearly!$D:$AM, 10, FALSE), 1)</f>
        <v>4.7958348598070485E-4</v>
      </c>
      <c r="I6" s="7">
        <f>$B6 * IFERROR(VLOOKUP("industry|NOx|Asthma symptoms cough", US_national_yearly!$D:$AM, 17, FALSE) / VLOOKUP("industry|NOx|Asthma symptoms cough", US_national_yearly!$D:$AM, 10, FALSE), 1)</f>
        <v>4.8128393265584957E-4</v>
      </c>
      <c r="J6" s="7">
        <f>$B6 * IFERROR(VLOOKUP("industry|NOx|Asthma symptoms cough", US_national_yearly!$D:$AM, 18, FALSE) / VLOOKUP("industry|NOx|Asthma symptoms cough", US_national_yearly!$D:$AM, 10, FALSE), 1)</f>
        <v>4.829843793309944E-4</v>
      </c>
      <c r="K6" s="7">
        <f>$B6 * IFERROR(VLOOKUP("industry|NOx|Asthma symptoms cough", US_national_yearly!$D:$AM, 19, FALSE) / VLOOKUP("industry|NOx|Asthma symptoms cough", US_national_yearly!$D:$AM, 10, FALSE), 1)</f>
        <v>4.8468482600613912E-4</v>
      </c>
      <c r="L6" s="7">
        <f>$B6 * IFERROR(VLOOKUP("industry|NOx|Asthma symptoms cough", US_national_yearly!$D:$AM, 20, FALSE) / VLOOKUP("industry|NOx|Asthma symptoms cough", US_national_yearly!$D:$AM, 10, FALSE), 1)</f>
        <v>4.863852726812839E-4</v>
      </c>
      <c r="M6" s="7">
        <f>$B6 * IFERROR(VLOOKUP("industry|NOx|Asthma symptoms cough", US_national_yearly!$D:$AM, 21, FALSE) / VLOOKUP("industry|NOx|Asthma symptoms cough", US_national_yearly!$D:$AM, 10, FALSE), 1)</f>
        <v>4.8808571935642873E-4</v>
      </c>
      <c r="N6" s="7">
        <f>$B6 * IFERROR(VLOOKUP("industry|NOx|Asthma symptoms cough", US_national_yearly!$D:$AM, 22, FALSE) / VLOOKUP("industry|NOx|Asthma symptoms cough", US_national_yearly!$D:$AM, 10, FALSE), 1)</f>
        <v>4.9002682565604393E-4</v>
      </c>
      <c r="O6" s="7">
        <f>$B6 * IFERROR(VLOOKUP("industry|NOx|Asthma symptoms cough", US_national_yearly!$D:$AM, 23, FALSE) / VLOOKUP("industry|NOx|Asthma symptoms cough", US_national_yearly!$D:$AM, 10, FALSE), 1)</f>
        <v>4.9196793195565897E-4</v>
      </c>
      <c r="P6" s="7">
        <f>$B6 * IFERROR(VLOOKUP("industry|NOx|Asthma symptoms cough", US_national_yearly!$D:$AM, 24, FALSE) / VLOOKUP("industry|NOx|Asthma symptoms cough", US_national_yearly!$D:$AM, 10, FALSE), 1)</f>
        <v>4.9390903825527412E-4</v>
      </c>
      <c r="Q6" s="7">
        <f>$B6 * IFERROR(VLOOKUP("industry|NOx|Asthma symptoms cough", US_national_yearly!$D:$AM, 25, FALSE) / VLOOKUP("industry|NOx|Asthma symptoms cough", US_national_yearly!$D:$AM, 10, FALSE), 1)</f>
        <v>4.9585014455488937E-4</v>
      </c>
      <c r="R6" s="7">
        <f>$B6 * IFERROR(VLOOKUP("industry|NOx|Asthma symptoms cough", US_national_yearly!$D:$AM, 26, FALSE) / VLOOKUP("industry|NOx|Asthma symptoms cough", US_national_yearly!$D:$AM, 10, FALSE), 1)</f>
        <v>4.9779125085450452E-4</v>
      </c>
      <c r="S6" s="7">
        <f>$B6 * IFERROR(VLOOKUP("industry|NOx|Asthma symptoms cough", US_national_yearly!$D:$AM, 27, FALSE) / VLOOKUP("industry|NOx|Asthma symptoms cough", US_national_yearly!$D:$AM, 10, FALSE), 1)</f>
        <v>5.0029519209480024E-4</v>
      </c>
      <c r="T6" s="7">
        <f>$B6 * IFERROR(VLOOKUP("industry|NOx|Asthma symptoms cough", US_national_yearly!$D:$AM, 28, FALSE) / VLOOKUP("industry|NOx|Asthma symptoms cough", US_national_yearly!$D:$AM, 10, FALSE), 1)</f>
        <v>5.0279913333509596E-4</v>
      </c>
      <c r="U6" s="7">
        <f>$B6 * IFERROR(VLOOKUP("industry|NOx|Asthma symptoms cough", US_national_yearly!$D:$AM, 29, FALSE) / VLOOKUP("industry|NOx|Asthma symptoms cough", US_national_yearly!$D:$AM, 10, FALSE), 1)</f>
        <v>5.0530307457539168E-4</v>
      </c>
      <c r="V6" s="7">
        <f>$B6 * IFERROR(VLOOKUP("industry|NOx|Asthma symptoms cough", US_national_yearly!$D:$AM, 30, FALSE) / VLOOKUP("industry|NOx|Asthma symptoms cough", US_national_yearly!$D:$AM, 10, FALSE), 1)</f>
        <v>5.0780701581568739E-4</v>
      </c>
      <c r="W6" s="7">
        <f>$B6 * IFERROR(VLOOKUP("industry|NOx|Asthma symptoms cough", US_national_yearly!$D:$AM, 31, FALSE) / VLOOKUP("industry|NOx|Asthma symptoms cough", US_national_yearly!$D:$AM, 10, FALSE), 1)</f>
        <v>5.1031095705598322E-4</v>
      </c>
      <c r="X6" s="7">
        <f>$B6 * IFERROR(VLOOKUP("industry|NOx|Asthma symptoms cough", US_national_yearly!$D:$AM, 32, FALSE) / VLOOKUP("industry|NOx|Asthma symptoms cough", US_national_yearly!$D:$AM, 10, FALSE), 1)</f>
        <v>5.1263230313535694E-4</v>
      </c>
      <c r="Y6" s="7">
        <f>$B6 * IFERROR(VLOOKUP("industry|NOx|Asthma symptoms cough", US_national_yearly!$D:$AM, 33, FALSE) / VLOOKUP("industry|NOx|Asthma symptoms cough", US_national_yearly!$D:$AM, 10, FALSE), 1)</f>
        <v>5.1495364921473065E-4</v>
      </c>
      <c r="Z6" s="7">
        <f>$B6 * IFERROR(VLOOKUP("industry|NOx|Asthma symptoms cough", US_national_yearly!$D:$AM, 34, FALSE) / VLOOKUP("industry|NOx|Asthma symptoms cough", US_national_yearly!$D:$AM, 10, FALSE), 1)</f>
        <v>5.1727499529410448E-4</v>
      </c>
      <c r="AA6" s="7">
        <f>$B6 * IFERROR(VLOOKUP("industry|NOx|Asthma symptoms cough", US_national_yearly!$D:$AM, 35, FALSE) / VLOOKUP("industry|NOx|Asthma symptoms cough", US_national_yearly!$D:$AM, 10, FALSE), 1)</f>
        <v>5.195963413734782E-4</v>
      </c>
      <c r="AB6" s="7">
        <f>$B6 * IFERROR(VLOOKUP("industry|NOx|Asthma symptoms cough", US_national_yearly!$D:$AM, 36, FALSE) / VLOOKUP("industry|NOx|Asthma symptoms cough", US_national_yearly!$D:$AM, 10, FALSE), 1)</f>
        <v>5.2191768745285191E-4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5.998432534596584E-4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6.080493126872249E-4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6.162553719147914E-4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6.244614311423578E-4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6.3266749036992441E-4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6.3924747679294834E-4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6.4582746321597238E-4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6.4811735680151013E-4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6.5040725038704788E-4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6.5269714397258574E-4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6.5498703755812371E-4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6.5727693114366146E-4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6.5989090718986815E-4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6.6250488323607473E-4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6.6511885928228142E-4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6.6773283532848822E-4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6.703468113746948E-4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6.7371872483021399E-4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6.7709063828573328E-4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6.8046255174125246E-4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6.8383446519677175E-4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6.8720637865229072E-4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6.9033240171730102E-4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6.9345842478231109E-4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6.9658444784732128E-4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6.9971047091233135E-4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7.0283649397734143E-4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9.1646310693587786E-4</v>
      </c>
      <c r="C8" s="7">
        <f>$B8 * IFERROR(VLOOKUP("industry|NOx|Asthma symptoms wheeze", US_national_yearly!$D:$AM, 11, FALSE) / VLOOKUP("industry|NOx|Asthma symptoms wheeze", US_national_yearly!$D:$AM, 10, FALSE), 1)</f>
        <v>9.2900063321968169E-4</v>
      </c>
      <c r="D8" s="7">
        <f>$B8 * IFERROR(VLOOKUP("industry|NOx|Asthma symptoms wheeze", US_national_yearly!$D:$AM, 12, FALSE) / VLOOKUP("industry|NOx|Asthma symptoms wheeze", US_national_yearly!$D:$AM, 10, FALSE), 1)</f>
        <v>9.4153815950348563E-4</v>
      </c>
      <c r="E8" s="7">
        <f>$B8 * IFERROR(VLOOKUP("industry|NOx|Asthma symptoms wheeze", US_national_yearly!$D:$AM, 13, FALSE) / VLOOKUP("industry|NOx|Asthma symptoms wheeze", US_national_yearly!$D:$AM, 10, FALSE), 1)</f>
        <v>9.5407568578728945E-4</v>
      </c>
      <c r="F8" s="7">
        <f>$B8 * IFERROR(VLOOKUP("industry|NOx|Asthma symptoms wheeze", US_national_yearly!$D:$AM, 14, FALSE) / VLOOKUP("industry|NOx|Asthma symptoms wheeze", US_national_yearly!$D:$AM, 10, FALSE), 1)</f>
        <v>9.6661321207109317E-4</v>
      </c>
      <c r="G8" s="7">
        <f>$B8 * IFERROR(VLOOKUP("industry|NOx|Asthma symptoms wheeze", US_national_yearly!$D:$AM, 15, FALSE) / VLOOKUP("industry|NOx|Asthma symptoms wheeze", US_national_yearly!$D:$AM, 10, FALSE), 1)</f>
        <v>9.7666636311341017E-4</v>
      </c>
      <c r="H8" s="7">
        <f>$B8 * IFERROR(VLOOKUP("industry|NOx|Asthma symptoms wheeze", US_national_yearly!$D:$AM, 16, FALSE) / VLOOKUP("industry|NOx|Asthma symptoms wheeze", US_national_yearly!$D:$AM, 10, FALSE), 1)</f>
        <v>9.8671951415572673E-4</v>
      </c>
      <c r="I8" s="7">
        <f>$B8 * IFERROR(VLOOKUP("industry|NOx|Asthma symptoms wheeze", US_national_yearly!$D:$AM, 17, FALSE) / VLOOKUP("industry|NOx|Asthma symptoms wheeze", US_national_yearly!$D:$AM, 10, FALSE), 1)</f>
        <v>9.9021809984325081E-4</v>
      </c>
      <c r="J8" s="7">
        <f>$B8 * IFERROR(VLOOKUP("industry|NOx|Asthma symptoms wheeze", US_national_yearly!$D:$AM, 18, FALSE) / VLOOKUP("industry|NOx|Asthma symptoms wheeze", US_national_yearly!$D:$AM, 10, FALSE), 1)</f>
        <v>9.937166855307749E-4</v>
      </c>
      <c r="K8" s="7">
        <f>$B8 * IFERROR(VLOOKUP("industry|NOx|Asthma symptoms wheeze", US_national_yearly!$D:$AM, 19, FALSE) / VLOOKUP("industry|NOx|Asthma symptoms wheeze", US_national_yearly!$D:$AM, 10, FALSE), 1)</f>
        <v>9.9721527121829899E-4</v>
      </c>
      <c r="L8" s="7">
        <f>$B8 * IFERROR(VLOOKUP("industry|NOx|Asthma symptoms wheeze", US_national_yearly!$D:$AM, 20, FALSE) / VLOOKUP("industry|NOx|Asthma symptoms wheeze", US_national_yearly!$D:$AM, 10, FALSE), 1)</f>
        <v>1.0007138569058229E-3</v>
      </c>
      <c r="M8" s="7">
        <f>$B8 * IFERROR(VLOOKUP("industry|NOx|Asthma symptoms wheeze", US_national_yearly!$D:$AM, 21, FALSE) / VLOOKUP("industry|NOx|Asthma symptoms wheeze", US_national_yearly!$D:$AM, 10, FALSE), 1)</f>
        <v>1.0042124425933469E-3</v>
      </c>
      <c r="N8" s="7">
        <f>$B8 * IFERROR(VLOOKUP("industry|NOx|Asthma symptoms wheeze", US_national_yearly!$D:$AM, 22, FALSE) / VLOOKUP("industry|NOx|Asthma symptoms wheeze", US_national_yearly!$D:$AM, 10, FALSE), 1)</f>
        <v>1.008206173661568E-3</v>
      </c>
      <c r="O8" s="7">
        <f>$B8 * IFERROR(VLOOKUP("industry|NOx|Asthma symptoms wheeze", US_national_yearly!$D:$AM, 23, FALSE) / VLOOKUP("industry|NOx|Asthma symptoms wheeze", US_national_yearly!$D:$AM, 10, FALSE), 1)</f>
        <v>1.0121999047297888E-3</v>
      </c>
      <c r="P8" s="7">
        <f>$B8 * IFERROR(VLOOKUP("industry|NOx|Asthma symptoms wheeze", US_national_yearly!$D:$AM, 24, FALSE) / VLOOKUP("industry|NOx|Asthma symptoms wheeze", US_national_yearly!$D:$AM, 10, FALSE), 1)</f>
        <v>1.0161936357980094E-3</v>
      </c>
      <c r="Q8" s="7">
        <f>$B8 * IFERROR(VLOOKUP("industry|NOx|Asthma symptoms wheeze", US_national_yearly!$D:$AM, 25, FALSE) / VLOOKUP("industry|NOx|Asthma symptoms wheeze", US_national_yearly!$D:$AM, 10, FALSE), 1)</f>
        <v>1.0201873668662302E-3</v>
      </c>
      <c r="R8" s="7">
        <f>$B8 * IFERROR(VLOOKUP("industry|NOx|Asthma symptoms wheeze", US_national_yearly!$D:$AM, 26, FALSE) / VLOOKUP("industry|NOx|Asthma symptoms wheeze", US_national_yearly!$D:$AM, 10, FALSE), 1)</f>
        <v>1.0241810979344512E-3</v>
      </c>
      <c r="S8" s="7">
        <f>$B8 * IFERROR(VLOOKUP("industry|NOx|Asthma symptoms wheeze", US_national_yearly!$D:$AM, 27, FALSE) / VLOOKUP("industry|NOx|Asthma symptoms wheeze", US_national_yearly!$D:$AM, 10, FALSE), 1)</f>
        <v>1.0293328343040729E-3</v>
      </c>
      <c r="T8" s="7">
        <f>$B8 * IFERROR(VLOOKUP("industry|NOx|Asthma symptoms wheeze", US_national_yearly!$D:$AM, 28, FALSE) / VLOOKUP("industry|NOx|Asthma symptoms wheeze", US_national_yearly!$D:$AM, 10, FALSE), 1)</f>
        <v>1.0344845706736943E-3</v>
      </c>
      <c r="U8" s="7">
        <f>$B8 * IFERROR(VLOOKUP("industry|NOx|Asthma symptoms wheeze", US_national_yearly!$D:$AM, 29, FALSE) / VLOOKUP("industry|NOx|Asthma symptoms wheeze", US_national_yearly!$D:$AM, 10, FALSE), 1)</f>
        <v>1.0396363070433157E-3</v>
      </c>
      <c r="V8" s="7">
        <f>$B8 * IFERROR(VLOOKUP("industry|NOx|Asthma symptoms wheeze", US_national_yearly!$D:$AM, 30, FALSE) / VLOOKUP("industry|NOx|Asthma symptoms wheeze", US_national_yearly!$D:$AM, 10, FALSE), 1)</f>
        <v>1.0447880434129371E-3</v>
      </c>
      <c r="W8" s="7">
        <f>$B8 * IFERROR(VLOOKUP("industry|NOx|Asthma symptoms wheeze", US_national_yearly!$D:$AM, 31, FALSE) / VLOOKUP("industry|NOx|Asthma symptoms wheeze", US_national_yearly!$D:$AM, 10, FALSE), 1)</f>
        <v>1.0499397797825586E-3</v>
      </c>
      <c r="X8" s="7">
        <f>$B8 * IFERROR(VLOOKUP("industry|NOx|Asthma symptoms wheeze", US_national_yearly!$D:$AM, 32, FALSE) / VLOOKUP("industry|NOx|Asthma symptoms wheeze", US_national_yearly!$D:$AM, 10, FALSE), 1)</f>
        <v>1.0547158355585287E-3</v>
      </c>
      <c r="Y8" s="7">
        <f>$B8 * IFERROR(VLOOKUP("industry|NOx|Asthma symptoms wheeze", US_national_yearly!$D:$AM, 33, FALSE) / VLOOKUP("industry|NOx|Asthma symptoms wheeze", US_national_yearly!$D:$AM, 10, FALSE), 1)</f>
        <v>1.0594918913344987E-3</v>
      </c>
      <c r="Z8" s="7">
        <f>$B8 * IFERROR(VLOOKUP("industry|NOx|Asthma symptoms wheeze", US_national_yearly!$D:$AM, 34, FALSE) / VLOOKUP("industry|NOx|Asthma symptoms wheeze", US_national_yearly!$D:$AM, 10, FALSE), 1)</f>
        <v>1.0642679471104686E-3</v>
      </c>
      <c r="AA8" s="7">
        <f>$B8 * IFERROR(VLOOKUP("industry|NOx|Asthma symptoms wheeze", US_national_yearly!$D:$AM, 35, FALSE) / VLOOKUP("industry|NOx|Asthma symptoms wheeze", US_national_yearly!$D:$AM, 10, FALSE), 1)</f>
        <v>1.0690440028864384E-3</v>
      </c>
      <c r="AB8" s="7">
        <f>$B8 * IFERROR(VLOOKUP("industry|NOx|Asthma symptoms wheeze", US_national_yearly!$D:$AM, 36, FALSE) / VLOOKUP("industry|NOx|Asthma symptoms wheeze", US_national_yearly!$D:$AM, 10, FALSE), 1)</f>
        <v>1.0738200586624092E-3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1.6445956619287602E-5</v>
      </c>
      <c r="C12" s="7">
        <f>$B12 * IFERROR(VLOOKUP("industry|NOx|Respiratory hospital admissions", US_national_yearly!$D:$AM, 11, FALSE) / VLOOKUP("industry|NOx|Respiratory hospital admissions", US_national_yearly!$D:$AM, 10, FALSE), 1)</f>
        <v>1.685913353524615E-5</v>
      </c>
      <c r="D12" s="7">
        <f>$B12 * IFERROR(VLOOKUP("industry|NOx|Respiratory hospital admissions", US_national_yearly!$D:$AM, 12, FALSE) / VLOOKUP("industry|NOx|Respiratory hospital admissions", US_national_yearly!$D:$AM, 10, FALSE), 1)</f>
        <v>1.7272310451204701E-5</v>
      </c>
      <c r="E12" s="7">
        <f>$B12 * IFERROR(VLOOKUP("industry|NOx|Respiratory hospital admissions", US_national_yearly!$D:$AM, 13, FALSE) / VLOOKUP("industry|NOx|Respiratory hospital admissions", US_national_yearly!$D:$AM, 10, FALSE), 1)</f>
        <v>1.7685487367163253E-5</v>
      </c>
      <c r="F12" s="7">
        <f>$B12 * IFERROR(VLOOKUP("industry|NOx|Respiratory hospital admissions", US_national_yearly!$D:$AM, 14, FALSE) / VLOOKUP("industry|NOx|Respiratory hospital admissions", US_national_yearly!$D:$AM, 10, FALSE), 1)</f>
        <v>1.8098664283121798E-5</v>
      </c>
      <c r="G12" s="7">
        <f>$B12 * IFERROR(VLOOKUP("industry|NOx|Respiratory hospital admissions", US_national_yearly!$D:$AM, 15, FALSE) / VLOOKUP("industry|NOx|Respiratory hospital admissions", US_national_yearly!$D:$AM, 10, FALSE), 1)</f>
        <v>1.8493886376075701E-5</v>
      </c>
      <c r="H12" s="7">
        <f>$B12 * IFERROR(VLOOKUP("industry|NOx|Respiratory hospital admissions", US_national_yearly!$D:$AM, 16, FALSE) / VLOOKUP("industry|NOx|Respiratory hospital admissions", US_national_yearly!$D:$AM, 10, FALSE), 1)</f>
        <v>1.8889108469029607E-5</v>
      </c>
      <c r="I12" s="7">
        <f>$B12 * IFERROR(VLOOKUP("industry|NOx|Respiratory hospital admissions", US_national_yearly!$D:$AM, 17, FALSE) / VLOOKUP("industry|NOx|Respiratory hospital admissions", US_national_yearly!$D:$AM, 10, FALSE), 1)</f>
        <v>1.9225693749225496E-5</v>
      </c>
      <c r="J12" s="7">
        <f>$B12 * IFERROR(VLOOKUP("industry|NOx|Respiratory hospital admissions", US_national_yearly!$D:$AM, 18, FALSE) / VLOOKUP("industry|NOx|Respiratory hospital admissions", US_national_yearly!$D:$AM, 10, FALSE), 1)</f>
        <v>1.9562279029421384E-5</v>
      </c>
      <c r="K12" s="7">
        <f>$B12 * IFERROR(VLOOKUP("industry|NOx|Respiratory hospital admissions", US_national_yearly!$D:$AM, 19, FALSE) / VLOOKUP("industry|NOx|Respiratory hospital admissions", US_national_yearly!$D:$AM, 10, FALSE), 1)</f>
        <v>1.9898864309617276E-5</v>
      </c>
      <c r="L12" s="7">
        <f>$B12 * IFERROR(VLOOKUP("industry|NOx|Respiratory hospital admissions", US_national_yearly!$D:$AM, 20, FALSE) / VLOOKUP("industry|NOx|Respiratory hospital admissions", US_national_yearly!$D:$AM, 10, FALSE), 1)</f>
        <v>2.0235449589813168E-5</v>
      </c>
      <c r="M12" s="7">
        <f>$B12 * IFERROR(VLOOKUP("industry|NOx|Respiratory hospital admissions", US_national_yearly!$D:$AM, 21, FALSE) / VLOOKUP("industry|NOx|Respiratory hospital admissions", US_national_yearly!$D:$AM, 10, FALSE), 1)</f>
        <v>2.0572034870009057E-5</v>
      </c>
      <c r="N12" s="7">
        <f>$B12 * IFERROR(VLOOKUP("industry|NOx|Respiratory hospital admissions", US_national_yearly!$D:$AM, 22, FALSE) / VLOOKUP("industry|NOx|Respiratory hospital admissions", US_national_yearly!$D:$AM, 10, FALSE), 1)</f>
        <v>2.079762004298285E-5</v>
      </c>
      <c r="O12" s="7">
        <f>$B12 * IFERROR(VLOOKUP("industry|NOx|Respiratory hospital admissions", US_national_yearly!$D:$AM, 23, FALSE) / VLOOKUP("industry|NOx|Respiratory hospital admissions", US_national_yearly!$D:$AM, 10, FALSE), 1)</f>
        <v>2.1023205215956643E-5</v>
      </c>
      <c r="P12" s="7">
        <f>$B12 * IFERROR(VLOOKUP("industry|NOx|Respiratory hospital admissions", US_national_yearly!$D:$AM, 24, FALSE) / VLOOKUP("industry|NOx|Respiratory hospital admissions", US_national_yearly!$D:$AM, 10, FALSE), 1)</f>
        <v>2.1248790388930439E-5</v>
      </c>
      <c r="Q12" s="7">
        <f>$B12 * IFERROR(VLOOKUP("industry|NOx|Respiratory hospital admissions", US_national_yearly!$D:$AM, 25, FALSE) / VLOOKUP("industry|NOx|Respiratory hospital admissions", US_national_yearly!$D:$AM, 10, FALSE), 1)</f>
        <v>2.1474375561904229E-5</v>
      </c>
      <c r="R12" s="7">
        <f>$B12 * IFERROR(VLOOKUP("industry|NOx|Respiratory hospital admissions", US_national_yearly!$D:$AM, 26, FALSE) / VLOOKUP("industry|NOx|Respiratory hospital admissions", US_national_yearly!$D:$AM, 10, FALSE), 1)</f>
        <v>2.1699960734878026E-5</v>
      </c>
      <c r="S12" s="7">
        <f>$B12 * IFERROR(VLOOKUP("industry|NOx|Respiratory hospital admissions", US_national_yearly!$D:$AM, 27, FALSE) / VLOOKUP("industry|NOx|Respiratory hospital admissions", US_national_yearly!$D:$AM, 10, FALSE), 1)</f>
        <v>2.1822433883357721E-5</v>
      </c>
      <c r="T12" s="7">
        <f>$B12 * IFERROR(VLOOKUP("industry|NOx|Respiratory hospital admissions", US_national_yearly!$D:$AM, 28, FALSE) / VLOOKUP("industry|NOx|Respiratory hospital admissions", US_national_yearly!$D:$AM, 10, FALSE), 1)</f>
        <v>2.194490703183742E-5</v>
      </c>
      <c r="U12" s="7">
        <f>$B12 * IFERROR(VLOOKUP("industry|NOx|Respiratory hospital admissions", US_national_yearly!$D:$AM, 29, FALSE) / VLOOKUP("industry|NOx|Respiratory hospital admissions", US_national_yearly!$D:$AM, 10, FALSE), 1)</f>
        <v>2.2067380180317116E-5</v>
      </c>
      <c r="V12" s="7">
        <f>$B12 * IFERROR(VLOOKUP("industry|NOx|Respiratory hospital admissions", US_national_yearly!$D:$AM, 30, FALSE) / VLOOKUP("industry|NOx|Respiratory hospital admissions", US_national_yearly!$D:$AM, 10, FALSE), 1)</f>
        <v>2.2189853328796812E-5</v>
      </c>
      <c r="W12" s="7">
        <f>$B12 * IFERROR(VLOOKUP("industry|NOx|Respiratory hospital admissions", US_national_yearly!$D:$AM, 31, FALSE) / VLOOKUP("industry|NOx|Respiratory hospital admissions", US_national_yearly!$D:$AM, 10, FALSE), 1)</f>
        <v>2.2312326477276511E-5</v>
      </c>
      <c r="X12" s="7">
        <f>$B12 * IFERROR(VLOOKUP("industry|NOx|Respiratory hospital admissions", US_national_yearly!$D:$AM, 32, FALSE) / VLOOKUP("industry|NOx|Respiratory hospital admissions", US_national_yearly!$D:$AM, 10, FALSE), 1)</f>
        <v>2.2397722300886948E-5</v>
      </c>
      <c r="Y12" s="7">
        <f>$B12 * IFERROR(VLOOKUP("industry|NOx|Respiratory hospital admissions", US_national_yearly!$D:$AM, 33, FALSE) / VLOOKUP("industry|NOx|Respiratory hospital admissions", US_national_yearly!$D:$AM, 10, FALSE), 1)</f>
        <v>2.2483118124497388E-5</v>
      </c>
      <c r="Z12" s="7">
        <f>$B12 * IFERROR(VLOOKUP("industry|NOx|Respiratory hospital admissions", US_national_yearly!$D:$AM, 34, FALSE) / VLOOKUP("industry|NOx|Respiratory hospital admissions", US_national_yearly!$D:$AM, 10, FALSE), 1)</f>
        <v>2.2568513948107828E-5</v>
      </c>
      <c r="AA12" s="7">
        <f>$B12 * IFERROR(VLOOKUP("industry|NOx|Respiratory hospital admissions", US_national_yearly!$D:$AM, 35, FALSE) / VLOOKUP("industry|NOx|Respiratory hospital admissions", US_national_yearly!$D:$AM, 10, FALSE), 1)</f>
        <v>2.2653909771718269E-5</v>
      </c>
      <c r="AB12" s="7">
        <f>$B12 * IFERROR(VLOOKUP("industry|NOx|Respiratory hospital admissions", US_national_yearly!$D:$AM, 36, FALSE) / VLOOKUP("industry|NOx|Respiratory hospital admissions", US_national_yearly!$D:$AM, 10, FALSE), 1)</f>
        <v>2.2739305595328706E-5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8.9864805058869292E-5</v>
      </c>
      <c r="C13" s="7">
        <f>$B13 * IFERROR(VLOOKUP("industry|NOx|Non-fatal heart attacks", US_national_yearly!$D:$AM, 11, FALSE) / VLOOKUP("industry|NOx|Non-fatal heart attacks", US_national_yearly!$D:$AM, 10, FALSE), 1)</f>
        <v>9.2432328655051211E-5</v>
      </c>
      <c r="D13" s="7">
        <f>$B13 * IFERROR(VLOOKUP("industry|NOx|Non-fatal heart attacks", US_national_yearly!$D:$AM, 12, FALSE) / VLOOKUP("industry|NOx|Non-fatal heart attacks", US_national_yearly!$D:$AM, 10, FALSE), 1)</f>
        <v>9.499985225123313E-5</v>
      </c>
      <c r="E13" s="7">
        <f>$B13 * IFERROR(VLOOKUP("industry|NOx|Non-fatal heart attacks", US_national_yearly!$D:$AM, 13, FALSE) / VLOOKUP("industry|NOx|Non-fatal heart attacks", US_national_yearly!$D:$AM, 10, FALSE), 1)</f>
        <v>9.7567375847415049E-5</v>
      </c>
      <c r="F13" s="7">
        <f>$B13 * IFERROR(VLOOKUP("industry|NOx|Non-fatal heart attacks", US_national_yearly!$D:$AM, 14, FALSE) / VLOOKUP("industry|NOx|Non-fatal heart attacks", US_national_yearly!$D:$AM, 10, FALSE), 1)</f>
        <v>1.0013489944359695E-4</v>
      </c>
      <c r="G13" s="7">
        <f>$B13 * IFERROR(VLOOKUP("industry|NOx|Non-fatal heart attacks", US_national_yearly!$D:$AM, 15, FALSE) / VLOOKUP("industry|NOx|Non-fatal heart attacks", US_national_yearly!$D:$AM, 10, FALSE), 1)</f>
        <v>1.0253628193906576E-4</v>
      </c>
      <c r="H13" s="7">
        <f>$B13 * IFERROR(VLOOKUP("industry|NOx|Non-fatal heart attacks", US_national_yearly!$D:$AM, 16, FALSE) / VLOOKUP("industry|NOx|Non-fatal heart attacks", US_national_yearly!$D:$AM, 10, FALSE), 1)</f>
        <v>1.0493766443453453E-4</v>
      </c>
      <c r="I13" s="7">
        <f>$B13 * IFERROR(VLOOKUP("industry|NOx|Non-fatal heart attacks", US_national_yearly!$D:$AM, 17, FALSE) / VLOOKUP("industry|NOx|Non-fatal heart attacks", US_national_yearly!$D:$AM, 10, FALSE), 1)</f>
        <v>1.0683690555712501E-4</v>
      </c>
      <c r="J13" s="7">
        <f>$B13 * IFERROR(VLOOKUP("industry|NOx|Non-fatal heart attacks", US_national_yearly!$D:$AM, 18, FALSE) / VLOOKUP("industry|NOx|Non-fatal heart attacks", US_national_yearly!$D:$AM, 10, FALSE), 1)</f>
        <v>1.0873614667971548E-4</v>
      </c>
      <c r="K13" s="7">
        <f>$B13 * IFERROR(VLOOKUP("industry|NOx|Non-fatal heart attacks", US_national_yearly!$D:$AM, 19, FALSE) / VLOOKUP("industry|NOx|Non-fatal heart attacks", US_national_yearly!$D:$AM, 10, FALSE), 1)</f>
        <v>1.1063538780230591E-4</v>
      </c>
      <c r="L13" s="7">
        <f>$B13 * IFERROR(VLOOKUP("industry|NOx|Non-fatal heart attacks", US_national_yearly!$D:$AM, 20, FALSE) / VLOOKUP("industry|NOx|Non-fatal heart attacks", US_national_yearly!$D:$AM, 10, FALSE), 1)</f>
        <v>1.1253462892489643E-4</v>
      </c>
      <c r="M13" s="7">
        <f>$B13 * IFERROR(VLOOKUP("industry|NOx|Non-fatal heart attacks", US_national_yearly!$D:$AM, 21, FALSE) / VLOOKUP("industry|NOx|Non-fatal heart attacks", US_national_yearly!$D:$AM, 10, FALSE), 1)</f>
        <v>1.1443387004748692E-4</v>
      </c>
      <c r="N13" s="7">
        <f>$B13 * IFERROR(VLOOKUP("industry|NOx|Non-fatal heart attacks", US_national_yearly!$D:$AM, 22, FALSE) / VLOOKUP("industry|NOx|Non-fatal heart attacks", US_national_yearly!$D:$AM, 10, FALSE), 1)</f>
        <v>1.1557807166897682E-4</v>
      </c>
      <c r="O13" s="7">
        <f>$B13 * IFERROR(VLOOKUP("industry|NOx|Non-fatal heart attacks", US_national_yearly!$D:$AM, 23, FALSE) / VLOOKUP("industry|NOx|Non-fatal heart attacks", US_national_yearly!$D:$AM, 10, FALSE), 1)</f>
        <v>1.167222732904667E-4</v>
      </c>
      <c r="P13" s="7">
        <f>$B13 * IFERROR(VLOOKUP("industry|NOx|Non-fatal heart attacks", US_national_yearly!$D:$AM, 24, FALSE) / VLOOKUP("industry|NOx|Non-fatal heart attacks", US_national_yearly!$D:$AM, 10, FALSE), 1)</f>
        <v>1.1786647491195659E-4</v>
      </c>
      <c r="Q13" s="7">
        <f>$B13 * IFERROR(VLOOKUP("industry|NOx|Non-fatal heart attacks", US_national_yearly!$D:$AM, 25, FALSE) / VLOOKUP("industry|NOx|Non-fatal heart attacks", US_national_yearly!$D:$AM, 10, FALSE), 1)</f>
        <v>1.1901067653344647E-4</v>
      </c>
      <c r="R13" s="7">
        <f>$B13 * IFERROR(VLOOKUP("industry|NOx|Non-fatal heart attacks", US_national_yearly!$D:$AM, 26, FALSE) / VLOOKUP("industry|NOx|Non-fatal heart attacks", US_national_yearly!$D:$AM, 10, FALSE), 1)</f>
        <v>1.2015487815493634E-4</v>
      </c>
      <c r="S13" s="7">
        <f>$B13 * IFERROR(VLOOKUP("industry|NOx|Non-fatal heart attacks", US_national_yearly!$D:$AM, 27, FALSE) / VLOOKUP("industry|NOx|Non-fatal heart attacks", US_national_yearly!$D:$AM, 10, FALSE), 1)</f>
        <v>1.2067986068159849E-4</v>
      </c>
      <c r="T13" s="7">
        <f>$B13 * IFERROR(VLOOKUP("industry|NOx|Non-fatal heart attacks", US_national_yearly!$D:$AM, 28, FALSE) / VLOOKUP("industry|NOx|Non-fatal heart attacks", US_national_yearly!$D:$AM, 10, FALSE), 1)</f>
        <v>1.2120484320826062E-4</v>
      </c>
      <c r="U13" s="7">
        <f>$B13 * IFERROR(VLOOKUP("industry|NOx|Non-fatal heart attacks", US_national_yearly!$D:$AM, 29, FALSE) / VLOOKUP("industry|NOx|Non-fatal heart attacks", US_national_yearly!$D:$AM, 10, FALSE), 1)</f>
        <v>1.2172982573492275E-4</v>
      </c>
      <c r="V13" s="7">
        <f>$B13 * IFERROR(VLOOKUP("industry|NOx|Non-fatal heart attacks", US_national_yearly!$D:$AM, 30, FALSE) / VLOOKUP("industry|NOx|Non-fatal heart attacks", US_national_yearly!$D:$AM, 10, FALSE), 1)</f>
        <v>1.2225480826158488E-4</v>
      </c>
      <c r="W13" s="7">
        <f>$B13 * IFERROR(VLOOKUP("industry|NOx|Non-fatal heart attacks", US_national_yearly!$D:$AM, 31, FALSE) / VLOOKUP("industry|NOx|Non-fatal heart attacks", US_national_yearly!$D:$AM, 10, FALSE), 1)</f>
        <v>1.2277979078824703E-4</v>
      </c>
      <c r="X13" s="7">
        <f>$B13 * IFERROR(VLOOKUP("industry|NOx|Non-fatal heart attacks", US_national_yearly!$D:$AM, 32, FALSE) / VLOOKUP("industry|NOx|Non-fatal heart attacks", US_national_yearly!$D:$AM, 10, FALSE), 1)</f>
        <v>1.2313409647948814E-4</v>
      </c>
      <c r="Y13" s="7">
        <f>$B13 * IFERROR(VLOOKUP("industry|NOx|Non-fatal heart attacks", US_national_yearly!$D:$AM, 33, FALSE) / VLOOKUP("industry|NOx|Non-fatal heart attacks", US_national_yearly!$D:$AM, 10, FALSE), 1)</f>
        <v>1.2348840217072925E-4</v>
      </c>
      <c r="Z13" s="7">
        <f>$B13 * IFERROR(VLOOKUP("industry|NOx|Non-fatal heart attacks", US_national_yearly!$D:$AM, 34, FALSE) / VLOOKUP("industry|NOx|Non-fatal heart attacks", US_national_yearly!$D:$AM, 10, FALSE), 1)</f>
        <v>1.2384270786197036E-4</v>
      </c>
      <c r="AA13" s="7">
        <f>$B13 * IFERROR(VLOOKUP("industry|NOx|Non-fatal heart attacks", US_national_yearly!$D:$AM, 35, FALSE) / VLOOKUP("industry|NOx|Non-fatal heart attacks", US_national_yearly!$D:$AM, 10, FALSE), 1)</f>
        <v>1.2419701355321147E-4</v>
      </c>
      <c r="AB13" s="7">
        <f>$B13 * IFERROR(VLOOKUP("industry|NOx|Non-fatal heart attacks", US_national_yearly!$D:$AM, 36, FALSE) / VLOOKUP("industry|NOx|Non-fatal heart attacks", US_national_yearly!$D:$AM, 10, FALSE), 1)</f>
        <v>1.245513192444526E-4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5.5318857754985955E-2</v>
      </c>
      <c r="C14" s="7">
        <f>$B14 * IFERROR(VLOOKUP("industry|NOx|Minor restricted activity days", US_national_yearly!$D:$AM, 11, FALSE) / VLOOKUP("industry|NOx|Minor restricted activity days", US_national_yearly!$D:$AM, 10, FALSE), 1)</f>
        <v>5.5400816911402861E-2</v>
      </c>
      <c r="D14" s="7">
        <f>$B14 * IFERROR(VLOOKUP("industry|NOx|Minor restricted activity days", US_national_yearly!$D:$AM, 12, FALSE) / VLOOKUP("industry|NOx|Minor restricted activity days", US_national_yearly!$D:$AM, 10, FALSE), 1)</f>
        <v>5.5482776067819761E-2</v>
      </c>
      <c r="E14" s="7">
        <f>$B14 * IFERROR(VLOOKUP("industry|NOx|Minor restricted activity days", US_national_yearly!$D:$AM, 13, FALSE) / VLOOKUP("industry|NOx|Minor restricted activity days", US_national_yearly!$D:$AM, 10, FALSE), 1)</f>
        <v>5.5564735224236668E-2</v>
      </c>
      <c r="F14" s="7">
        <f>$B14 * IFERROR(VLOOKUP("industry|NOx|Minor restricted activity days", US_national_yearly!$D:$AM, 14, FALSE) / VLOOKUP("industry|NOx|Minor restricted activity days", US_national_yearly!$D:$AM, 10, FALSE), 1)</f>
        <v>5.5646694380653568E-2</v>
      </c>
      <c r="G14" s="7">
        <f>$B14 * IFERROR(VLOOKUP("industry|NOx|Minor restricted activity days", US_national_yearly!$D:$AM, 15, FALSE) / VLOOKUP("industry|NOx|Minor restricted activity days", US_national_yearly!$D:$AM, 10, FALSE), 1)</f>
        <v>5.5795893360233634E-2</v>
      </c>
      <c r="H14" s="7">
        <f>$B14 * IFERROR(VLOOKUP("industry|NOx|Minor restricted activity days", US_national_yearly!$D:$AM, 16, FALSE) / VLOOKUP("industry|NOx|Minor restricted activity days", US_national_yearly!$D:$AM, 10, FALSE), 1)</f>
        <v>5.5945092339813693E-2</v>
      </c>
      <c r="I14" s="7">
        <f>$B14 * IFERROR(VLOOKUP("industry|NOx|Minor restricted activity days", US_national_yearly!$D:$AM, 17, FALSE) / VLOOKUP("industry|NOx|Minor restricted activity days", US_national_yearly!$D:$AM, 10, FALSE), 1)</f>
        <v>5.6238811769224531E-2</v>
      </c>
      <c r="J14" s="7">
        <f>$B14 * IFERROR(VLOOKUP("industry|NOx|Minor restricted activity days", US_national_yearly!$D:$AM, 18, FALSE) / VLOOKUP("industry|NOx|Minor restricted activity days", US_national_yearly!$D:$AM, 10, FALSE), 1)</f>
        <v>5.6532531198635355E-2</v>
      </c>
      <c r="K14" s="7">
        <f>$B14 * IFERROR(VLOOKUP("industry|NOx|Minor restricted activity days", US_national_yearly!$D:$AM, 19, FALSE) / VLOOKUP("industry|NOx|Minor restricted activity days", US_national_yearly!$D:$AM, 10, FALSE), 1)</f>
        <v>5.6826250628046172E-2</v>
      </c>
      <c r="L14" s="7">
        <f>$B14 * IFERROR(VLOOKUP("industry|NOx|Minor restricted activity days", US_national_yearly!$D:$AM, 20, FALSE) / VLOOKUP("industry|NOx|Minor restricted activity days", US_national_yearly!$D:$AM, 10, FALSE), 1)</f>
        <v>5.711997005745701E-2</v>
      </c>
      <c r="M14" s="7">
        <f>$B14 * IFERROR(VLOOKUP("industry|NOx|Minor restricted activity days", US_national_yearly!$D:$AM, 21, FALSE) / VLOOKUP("industry|NOx|Minor restricted activity days", US_national_yearly!$D:$AM, 10, FALSE), 1)</f>
        <v>5.7413689486867835E-2</v>
      </c>
      <c r="N14" s="7">
        <f>$B14 * IFERROR(VLOOKUP("industry|NOx|Minor restricted activity days", US_national_yearly!$D:$AM, 22, FALSE) / VLOOKUP("industry|NOx|Minor restricted activity days", US_national_yearly!$D:$AM, 10, FALSE), 1)</f>
        <v>5.7836665100970075E-2</v>
      </c>
      <c r="O14" s="7">
        <f>$B14 * IFERROR(VLOOKUP("industry|NOx|Minor restricted activity days", US_national_yearly!$D:$AM, 23, FALSE) / VLOOKUP("industry|NOx|Minor restricted activity days", US_national_yearly!$D:$AM, 10, FALSE), 1)</f>
        <v>5.8259640715072322E-2</v>
      </c>
      <c r="P14" s="7">
        <f>$B14 * IFERROR(VLOOKUP("industry|NOx|Minor restricted activity days", US_national_yearly!$D:$AM, 24, FALSE) / VLOOKUP("industry|NOx|Minor restricted activity days", US_national_yearly!$D:$AM, 10, FALSE), 1)</f>
        <v>5.8682616329174576E-2</v>
      </c>
      <c r="Q14" s="7">
        <f>$B14 * IFERROR(VLOOKUP("industry|NOx|Minor restricted activity days", US_national_yearly!$D:$AM, 25, FALSE) / VLOOKUP("industry|NOx|Minor restricted activity days", US_national_yearly!$D:$AM, 10, FALSE), 1)</f>
        <v>5.910559194327681E-2</v>
      </c>
      <c r="R14" s="7">
        <f>$B14 * IFERROR(VLOOKUP("industry|NOx|Minor restricted activity days", US_national_yearly!$D:$AM, 26, FALSE) / VLOOKUP("industry|NOx|Minor restricted activity days", US_national_yearly!$D:$AM, 10, FALSE), 1)</f>
        <v>5.9528567557379064E-2</v>
      </c>
      <c r="S14" s="7">
        <f>$B14 * IFERROR(VLOOKUP("industry|NOx|Minor restricted activity days", US_national_yearly!$D:$AM, 27, FALSE) / VLOOKUP("industry|NOx|Minor restricted activity days", US_national_yearly!$D:$AM, 10, FALSE), 1)</f>
        <v>5.9951996023480669E-2</v>
      </c>
      <c r="T14" s="7">
        <f>$B14 * IFERROR(VLOOKUP("industry|NOx|Minor restricted activity days", US_national_yearly!$D:$AM, 28, FALSE) / VLOOKUP("industry|NOx|Minor restricted activity days", US_national_yearly!$D:$AM, 10, FALSE), 1)</f>
        <v>6.0375424489582281E-2</v>
      </c>
      <c r="U14" s="7">
        <f>$B14 * IFERROR(VLOOKUP("industry|NOx|Minor restricted activity days", US_national_yearly!$D:$AM, 29, FALSE) / VLOOKUP("industry|NOx|Minor restricted activity days", US_national_yearly!$D:$AM, 10, FALSE), 1)</f>
        <v>6.0798852955683901E-2</v>
      </c>
      <c r="V14" s="7">
        <f>$B14 * IFERROR(VLOOKUP("industry|NOx|Minor restricted activity days", US_national_yearly!$D:$AM, 30, FALSE) / VLOOKUP("industry|NOx|Minor restricted activity days", US_national_yearly!$D:$AM, 10, FALSE), 1)</f>
        <v>6.122228142178552E-2</v>
      </c>
      <c r="W14" s="7">
        <f>$B14 * IFERROR(VLOOKUP("industry|NOx|Minor restricted activity days", US_national_yearly!$D:$AM, 31, FALSE) / VLOOKUP("industry|NOx|Minor restricted activity days", US_national_yearly!$D:$AM, 10, FALSE), 1)</f>
        <v>6.1645709887887139E-2</v>
      </c>
      <c r="X14" s="7">
        <f>$B14 * IFERROR(VLOOKUP("industry|NOx|Minor restricted activity days", US_national_yearly!$D:$AM, 32, FALSE) / VLOOKUP("industry|NOx|Minor restricted activity days", US_national_yearly!$D:$AM, 10, FALSE), 1)</f>
        <v>6.2003204362088359E-2</v>
      </c>
      <c r="Y14" s="7">
        <f>$B14 * IFERROR(VLOOKUP("industry|NOx|Minor restricted activity days", US_national_yearly!$D:$AM, 33, FALSE) / VLOOKUP("industry|NOx|Minor restricted activity days", US_national_yearly!$D:$AM, 10, FALSE), 1)</f>
        <v>6.2360698836289571E-2</v>
      </c>
      <c r="Z14" s="7">
        <f>$B14 * IFERROR(VLOOKUP("industry|NOx|Minor restricted activity days", US_national_yearly!$D:$AM, 34, FALSE) / VLOOKUP("industry|NOx|Minor restricted activity days", US_national_yearly!$D:$AM, 10, FALSE), 1)</f>
        <v>6.2718193310490777E-2</v>
      </c>
      <c r="AA14" s="7">
        <f>$B14 * IFERROR(VLOOKUP("industry|NOx|Minor restricted activity days", US_national_yearly!$D:$AM, 35, FALSE) / VLOOKUP("industry|NOx|Minor restricted activity days", US_national_yearly!$D:$AM, 10, FALSE), 1)</f>
        <v>6.3075687784691997E-2</v>
      </c>
      <c r="AB14" s="7">
        <f>$B14 * IFERROR(VLOOKUP("industry|NOx|Minor restricted activity days", US_national_yearly!$D:$AM, 36, FALSE) / VLOOKUP("industry|NOx|Minor restricted activity days", US_national_yearly!$D:$AM, 10, FALSE), 1)</f>
        <v>6.3433182258893231E-2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9.3609544822172742E-3</v>
      </c>
      <c r="C15" s="7">
        <f>$B15 * IFERROR(VLOOKUP("industry|NOx|Work loss days", US_national_yearly!$D:$AM, 11, FALSE) / VLOOKUP("industry|NOx|Work loss days", US_national_yearly!$D:$AM, 10, FALSE), 1)</f>
        <v>9.3812366458723897E-3</v>
      </c>
      <c r="D15" s="7">
        <f>$B15 * IFERROR(VLOOKUP("industry|NOx|Work loss days", US_national_yearly!$D:$AM, 12, FALSE) / VLOOKUP("industry|NOx|Work loss days", US_national_yearly!$D:$AM, 10, FALSE), 1)</f>
        <v>9.4015188095275034E-3</v>
      </c>
      <c r="E15" s="7">
        <f>$B15 * IFERROR(VLOOKUP("industry|NOx|Work loss days", US_national_yearly!$D:$AM, 13, FALSE) / VLOOKUP("industry|NOx|Work loss days", US_national_yearly!$D:$AM, 10, FALSE), 1)</f>
        <v>9.4218009731826188E-3</v>
      </c>
      <c r="F15" s="7">
        <f>$B15 * IFERROR(VLOOKUP("industry|NOx|Work loss days", US_national_yearly!$D:$AM, 14, FALSE) / VLOOKUP("industry|NOx|Work loss days", US_national_yearly!$D:$AM, 10, FALSE), 1)</f>
        <v>9.4420831368377325E-3</v>
      </c>
      <c r="G15" s="7">
        <f>$B15 * IFERROR(VLOOKUP("industry|NOx|Work loss days", US_national_yearly!$D:$AM, 15, FALSE) / VLOOKUP("industry|NOx|Work loss days", US_national_yearly!$D:$AM, 10, FALSE), 1)</f>
        <v>9.4717508553505605E-3</v>
      </c>
      <c r="H15" s="7">
        <f>$B15 * IFERROR(VLOOKUP("industry|NOx|Work loss days", US_national_yearly!$D:$AM, 16, FALSE) / VLOOKUP("industry|NOx|Work loss days", US_national_yearly!$D:$AM, 10, FALSE), 1)</f>
        <v>9.5014185738633867E-3</v>
      </c>
      <c r="I15" s="7">
        <f>$B15 * IFERROR(VLOOKUP("industry|NOx|Work loss days", US_national_yearly!$D:$AM, 17, FALSE) / VLOOKUP("industry|NOx|Work loss days", US_national_yearly!$D:$AM, 10, FALSE), 1)</f>
        <v>9.5496210940601289E-3</v>
      </c>
      <c r="J15" s="7">
        <f>$B15 * IFERROR(VLOOKUP("industry|NOx|Work loss days", US_national_yearly!$D:$AM, 18, FALSE) / VLOOKUP("industry|NOx|Work loss days", US_national_yearly!$D:$AM, 10, FALSE), 1)</f>
        <v>9.5978236142568694E-3</v>
      </c>
      <c r="K15" s="7">
        <f>$B15 * IFERROR(VLOOKUP("industry|NOx|Work loss days", US_national_yearly!$D:$AM, 19, FALSE) / VLOOKUP("industry|NOx|Work loss days", US_national_yearly!$D:$AM, 10, FALSE), 1)</f>
        <v>9.6460261344536117E-3</v>
      </c>
      <c r="L15" s="7">
        <f>$B15 * IFERROR(VLOOKUP("industry|NOx|Work loss days", US_national_yearly!$D:$AM, 20, FALSE) / VLOOKUP("industry|NOx|Work loss days", US_national_yearly!$D:$AM, 10, FALSE), 1)</f>
        <v>9.6942286546503505E-3</v>
      </c>
      <c r="M15" s="7">
        <f>$B15 * IFERROR(VLOOKUP("industry|NOx|Work loss days", US_national_yearly!$D:$AM, 21, FALSE) / VLOOKUP("industry|NOx|Work loss days", US_national_yearly!$D:$AM, 10, FALSE), 1)</f>
        <v>9.7424311748470927E-3</v>
      </c>
      <c r="N15" s="7">
        <f>$B15 * IFERROR(VLOOKUP("industry|NOx|Work loss days", US_national_yearly!$D:$AM, 22, FALSE) / VLOOKUP("industry|NOx|Work loss days", US_national_yearly!$D:$AM, 10, FALSE), 1)</f>
        <v>9.805469140053218E-3</v>
      </c>
      <c r="O15" s="7">
        <f>$B15 * IFERROR(VLOOKUP("industry|NOx|Work loss days", US_national_yearly!$D:$AM, 23, FALSE) / VLOOKUP("industry|NOx|Work loss days", US_national_yearly!$D:$AM, 10, FALSE), 1)</f>
        <v>9.8685071052593432E-3</v>
      </c>
      <c r="P15" s="7">
        <f>$B15 * IFERROR(VLOOKUP("industry|NOx|Work loss days", US_national_yearly!$D:$AM, 24, FALSE) / VLOOKUP("industry|NOx|Work loss days", US_national_yearly!$D:$AM, 10, FALSE), 1)</f>
        <v>9.9315450704654685E-3</v>
      </c>
      <c r="Q15" s="7">
        <f>$B15 * IFERROR(VLOOKUP("industry|NOx|Work loss days", US_national_yearly!$D:$AM, 25, FALSE) / VLOOKUP("industry|NOx|Work loss days", US_national_yearly!$D:$AM, 10, FALSE), 1)</f>
        <v>9.994583035671592E-3</v>
      </c>
      <c r="R15" s="7">
        <f>$B15 * IFERROR(VLOOKUP("industry|NOx|Work loss days", US_national_yearly!$D:$AM, 26, FALSE) / VLOOKUP("industry|NOx|Work loss days", US_national_yearly!$D:$AM, 10, FALSE), 1)</f>
        <v>1.0057621000877719E-2</v>
      </c>
      <c r="S15" s="7">
        <f>$B15 * IFERROR(VLOOKUP("industry|NOx|Work loss days", US_national_yearly!$D:$AM, 27, FALSE) / VLOOKUP("industry|NOx|Work loss days", US_national_yearly!$D:$AM, 10, FALSE), 1)</f>
        <v>1.0128093627648348E-2</v>
      </c>
      <c r="T15" s="7">
        <f>$B15 * IFERROR(VLOOKUP("industry|NOx|Work loss days", US_national_yearly!$D:$AM, 28, FALSE) / VLOOKUP("industry|NOx|Work loss days", US_national_yearly!$D:$AM, 10, FALSE), 1)</f>
        <v>1.0198566254418978E-2</v>
      </c>
      <c r="U15" s="7">
        <f>$B15 * IFERROR(VLOOKUP("industry|NOx|Work loss days", US_national_yearly!$D:$AM, 29, FALSE) / VLOOKUP("industry|NOx|Work loss days", US_national_yearly!$D:$AM, 10, FALSE), 1)</f>
        <v>1.0269038881189609E-2</v>
      </c>
      <c r="V15" s="7">
        <f>$B15 * IFERROR(VLOOKUP("industry|NOx|Work loss days", US_national_yearly!$D:$AM, 30, FALSE) / VLOOKUP("industry|NOx|Work loss days", US_national_yearly!$D:$AM, 10, FALSE), 1)</f>
        <v>1.0339511507960237E-2</v>
      </c>
      <c r="W15" s="7">
        <f>$B15 * IFERROR(VLOOKUP("industry|NOx|Work loss days", US_national_yearly!$D:$AM, 31, FALSE) / VLOOKUP("industry|NOx|Work loss days", US_national_yearly!$D:$AM, 10, FALSE), 1)</f>
        <v>1.0409984134730868E-2</v>
      </c>
      <c r="X15" s="7">
        <f>$B15 * IFERROR(VLOOKUP("industry|NOx|Work loss days", US_national_yearly!$D:$AM, 32, FALSE) / VLOOKUP("industry|NOx|Work loss days", US_national_yearly!$D:$AM, 10, FALSE), 1)</f>
        <v>1.0471121596186997E-2</v>
      </c>
      <c r="Y15" s="7">
        <f>$B15 * IFERROR(VLOOKUP("industry|NOx|Work loss days", US_national_yearly!$D:$AM, 33, FALSE) / VLOOKUP("industry|NOx|Work loss days", US_national_yearly!$D:$AM, 10, FALSE), 1)</f>
        <v>1.0532259057643127E-2</v>
      </c>
      <c r="Z15" s="7">
        <f>$B15 * IFERROR(VLOOKUP("industry|NOx|Work loss days", US_national_yearly!$D:$AM, 34, FALSE) / VLOOKUP("industry|NOx|Work loss days", US_national_yearly!$D:$AM, 10, FALSE), 1)</f>
        <v>1.0593396519099256E-2</v>
      </c>
      <c r="AA15" s="7">
        <f>$B15 * IFERROR(VLOOKUP("industry|NOx|Work loss days", US_national_yearly!$D:$AM, 35, FALSE) / VLOOKUP("industry|NOx|Work loss days", US_national_yearly!$D:$AM, 10, FALSE), 1)</f>
        <v>1.0654533980555386E-2</v>
      </c>
      <c r="AB15" s="7">
        <f>$B15 * IFERROR(VLOOKUP("industry|NOx|Work loss days", US_national_yearly!$D:$AM, 36, FALSE) / VLOOKUP("industry|NOx|Work loss days", US_national_yearly!$D:$AM, 10, FALSE), 1)</f>
        <v>1.0715671442011515E-2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2.2559418095088673E-5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2.32218228700303E-5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2.3884227644971931E-5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2.4546632419913559E-5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2.5209037194855189E-5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2.5838602689527187E-5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2.6468168184199191E-5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2.6998937449741926E-5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2.7529706715284661E-5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2.8060475980827393E-5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2.8591245246370129E-5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2.9122014511912861E-5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2.945429791367368E-5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2.9786581315434492E-5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3.0118864717195308E-5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3.045114811895612E-5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3.0783431520716932E-5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3.0936720389159143E-5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3.1090009257601354E-5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3.1243298126043572E-5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3.1396586994485783E-5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3.1549875862927994E-5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3.1636483002301519E-5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3.1723090141675043E-5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3.1809697281048568E-5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3.1896304420422085E-5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3.198291155979561E-5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1.4305542649525268E-3</v>
      </c>
      <c r="C2" s="7">
        <f>$B2 * IFERROR(VLOOKUP("industry|SO2|Premature mortality", US_national_yearly!$D:$AM, 11, FALSE) / VLOOKUP("industry|SO2|Premature mortality", US_national_yearly!$D:$AM, 10, FALSE), 1)</f>
        <v>1.4486892621707026E-3</v>
      </c>
      <c r="D2" s="7">
        <f>$B2 * IFERROR(VLOOKUP("industry|SO2|Premature mortality", US_national_yearly!$D:$AM, 12, FALSE) / VLOOKUP("industry|SO2|Premature mortality", US_national_yearly!$D:$AM, 10, FALSE), 1)</f>
        <v>1.4668242593888783E-3</v>
      </c>
      <c r="E2" s="7">
        <f>$B2 * IFERROR(VLOOKUP("industry|SO2|Premature mortality", US_national_yearly!$D:$AM, 13, FALSE) / VLOOKUP("industry|SO2|Premature mortality", US_national_yearly!$D:$AM, 10, FALSE), 1)</f>
        <v>1.4849592566070539E-3</v>
      </c>
      <c r="F2" s="7">
        <f>$B2 * IFERROR(VLOOKUP("industry|SO2|Premature mortality", US_national_yearly!$D:$AM, 14, FALSE) / VLOOKUP("industry|SO2|Premature mortality", US_national_yearly!$D:$AM, 10, FALSE), 1)</f>
        <v>1.5030942538252297E-3</v>
      </c>
      <c r="G2" s="7">
        <f>$B2 * IFERROR(VLOOKUP("industry|SO2|Premature mortality", US_national_yearly!$D:$AM, 15, FALSE) / VLOOKUP("industry|SO2|Premature mortality", US_national_yearly!$D:$AM, 10, FALSE), 1)</f>
        <v>1.5380488011315584E-3</v>
      </c>
      <c r="H2" s="7">
        <f>$B2 * IFERROR(VLOOKUP("industry|SO2|Premature mortality", US_national_yearly!$D:$AM, 16, FALSE) / VLOOKUP("industry|SO2|Premature mortality", US_national_yearly!$D:$AM, 10, FALSE), 1)</f>
        <v>1.5730033484378874E-3</v>
      </c>
      <c r="I2" s="7">
        <f>$B2 * IFERROR(VLOOKUP("industry|SO2|Premature mortality", US_national_yearly!$D:$AM, 17, FALSE) / VLOOKUP("industry|SO2|Premature mortality", US_national_yearly!$D:$AM, 10, FALSE), 1)</f>
        <v>1.5961492265810951E-3</v>
      </c>
      <c r="J2" s="7">
        <f>$B2 * IFERROR(VLOOKUP("industry|SO2|Premature mortality", US_national_yearly!$D:$AM, 18, FALSE) / VLOOKUP("industry|SO2|Premature mortality", US_national_yearly!$D:$AM, 10, FALSE), 1)</f>
        <v>1.6192951047243028E-3</v>
      </c>
      <c r="K2" s="7">
        <f>$B2 * IFERROR(VLOOKUP("industry|SO2|Premature mortality", US_national_yearly!$D:$AM, 19, FALSE) / VLOOKUP("industry|SO2|Premature mortality", US_national_yearly!$D:$AM, 10, FALSE), 1)</f>
        <v>1.6424409828675103E-3</v>
      </c>
      <c r="L2" s="7">
        <f>$B2 * IFERROR(VLOOKUP("industry|SO2|Premature mortality", US_national_yearly!$D:$AM, 20, FALSE) / VLOOKUP("industry|SO2|Premature mortality", US_national_yearly!$D:$AM, 10, FALSE), 1)</f>
        <v>1.665586861010718E-3</v>
      </c>
      <c r="M2" s="7">
        <f>$B2 * IFERROR(VLOOKUP("industry|SO2|Premature mortality", US_national_yearly!$D:$AM, 21, FALSE) / VLOOKUP("industry|SO2|Premature mortality", US_national_yearly!$D:$AM, 10, FALSE), 1)</f>
        <v>1.6887327391539254E-3</v>
      </c>
      <c r="N2" s="7">
        <f>$B2 * IFERROR(VLOOKUP("industry|SO2|Premature mortality", US_national_yearly!$D:$AM, 22, FALSE) / VLOOKUP("industry|SO2|Premature mortality", US_national_yearly!$D:$AM, 10, FALSE), 1)</f>
        <v>1.7068383190574116E-3</v>
      </c>
      <c r="O2" s="7">
        <f>$B2 * IFERROR(VLOOKUP("industry|SO2|Premature mortality", US_national_yearly!$D:$AM, 23, FALSE) / VLOOKUP("industry|SO2|Premature mortality", US_national_yearly!$D:$AM, 10, FALSE), 1)</f>
        <v>1.7249438989608975E-3</v>
      </c>
      <c r="P2" s="7">
        <f>$B2 * IFERROR(VLOOKUP("industry|SO2|Premature mortality", US_national_yearly!$D:$AM, 24, FALSE) / VLOOKUP("industry|SO2|Premature mortality", US_national_yearly!$D:$AM, 10, FALSE), 1)</f>
        <v>1.7430494788643837E-3</v>
      </c>
      <c r="Q2" s="7">
        <f>$B2 * IFERROR(VLOOKUP("industry|SO2|Premature mortality", US_national_yearly!$D:$AM, 25, FALSE) / VLOOKUP("industry|SO2|Premature mortality", US_national_yearly!$D:$AM, 10, FALSE), 1)</f>
        <v>1.7611550587678696E-3</v>
      </c>
      <c r="R2" s="7">
        <f>$B2 * IFERROR(VLOOKUP("industry|SO2|Premature mortality", US_national_yearly!$D:$AM, 26, FALSE) / VLOOKUP("industry|SO2|Premature mortality", US_national_yearly!$D:$AM, 10, FALSE), 1)</f>
        <v>1.7792606386713556E-3</v>
      </c>
      <c r="S2" s="7">
        <f>$B2 * IFERROR(VLOOKUP("industry|SO2|Premature mortality", US_national_yearly!$D:$AM, 27, FALSE) / VLOOKUP("industry|SO2|Premature mortality", US_national_yearly!$D:$AM, 10, FALSE), 1)</f>
        <v>1.789036654370462E-3</v>
      </c>
      <c r="T2" s="7">
        <f>$B2 * IFERROR(VLOOKUP("industry|SO2|Premature mortality", US_national_yearly!$D:$AM, 28, FALSE) / VLOOKUP("industry|SO2|Premature mortality", US_national_yearly!$D:$AM, 10, FALSE), 1)</f>
        <v>1.798812670069569E-3</v>
      </c>
      <c r="U2" s="7">
        <f>$B2 * IFERROR(VLOOKUP("industry|SO2|Premature mortality", US_national_yearly!$D:$AM, 29, FALSE) / VLOOKUP("industry|SO2|Premature mortality", US_national_yearly!$D:$AM, 10, FALSE), 1)</f>
        <v>1.8085886857686759E-3</v>
      </c>
      <c r="V2" s="7">
        <f>$B2 * IFERROR(VLOOKUP("industry|SO2|Premature mortality", US_national_yearly!$D:$AM, 30, FALSE) / VLOOKUP("industry|SO2|Premature mortality", US_national_yearly!$D:$AM, 10, FALSE), 1)</f>
        <v>1.8183647014677828E-3</v>
      </c>
      <c r="W2" s="7">
        <f>$B2 * IFERROR(VLOOKUP("industry|SO2|Premature mortality", US_national_yearly!$D:$AM, 31, FALSE) / VLOOKUP("industry|SO2|Premature mortality", US_national_yearly!$D:$AM, 10, FALSE), 1)</f>
        <v>1.8281407171668895E-3</v>
      </c>
      <c r="X2" s="7">
        <f>$B2 * IFERROR(VLOOKUP("industry|SO2|Premature mortality", US_national_yearly!$D:$AM, 32, FALSE) / VLOOKUP("industry|SO2|Premature mortality", US_national_yearly!$D:$AM, 10, FALSE), 1)</f>
        <v>1.8302448140497716E-3</v>
      </c>
      <c r="Y2" s="7">
        <f>$B2 * IFERROR(VLOOKUP("industry|SO2|Premature mortality", US_national_yearly!$D:$AM, 33, FALSE) / VLOOKUP("industry|SO2|Premature mortality", US_national_yearly!$D:$AM, 10, FALSE), 1)</f>
        <v>1.8323489109326537E-3</v>
      </c>
      <c r="Z2" s="7">
        <f>$B2 * IFERROR(VLOOKUP("industry|SO2|Premature mortality", US_national_yearly!$D:$AM, 34, FALSE) / VLOOKUP("industry|SO2|Premature mortality", US_national_yearly!$D:$AM, 10, FALSE), 1)</f>
        <v>1.8344530078155362E-3</v>
      </c>
      <c r="AA2" s="7">
        <f>$B2 * IFERROR(VLOOKUP("industry|SO2|Premature mortality", US_national_yearly!$D:$AM, 35, FALSE) / VLOOKUP("industry|SO2|Premature mortality", US_national_yearly!$D:$AM, 10, FALSE), 1)</f>
        <v>1.8365571046984183E-3</v>
      </c>
      <c r="AB2" s="7">
        <f>$B2 * IFERROR(VLOOKUP("industry|SO2|Premature mortality", US_national_yearly!$D:$AM, 36, FALSE) / VLOOKUP("industry|SO2|Premature mortality", US_national_yearly!$D:$AM, 10, FALSE), 1)</f>
        <v>1.8386612015813002E-3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3.5744717357936727E-6</v>
      </c>
      <c r="C3" s="7">
        <f>$B3 * IFERROR(VLOOKUP("industry|SO2|Infant mortality", US_national_yearly!$D:$AM, 11, FALSE) / VLOOKUP("industry|SO2|Infant mortality", US_national_yearly!$D:$AM, 10, FALSE), 1)</f>
        <v>3.5437202797989622E-6</v>
      </c>
      <c r="D3" s="7">
        <f>$B3 * IFERROR(VLOOKUP("industry|SO2|Infant mortality", US_national_yearly!$D:$AM, 12, FALSE) / VLOOKUP("industry|SO2|Infant mortality", US_national_yearly!$D:$AM, 10, FALSE), 1)</f>
        <v>3.5129688238042516E-6</v>
      </c>
      <c r="E3" s="7">
        <f>$B3 * IFERROR(VLOOKUP("industry|SO2|Infant mortality", US_national_yearly!$D:$AM, 13, FALSE) / VLOOKUP("industry|SO2|Infant mortality", US_national_yearly!$D:$AM, 10, FALSE), 1)</f>
        <v>3.4822173678095406E-6</v>
      </c>
      <c r="F3" s="7">
        <f>$B3 * IFERROR(VLOOKUP("industry|SO2|Infant mortality", US_national_yearly!$D:$AM, 14, FALSE) / VLOOKUP("industry|SO2|Infant mortality", US_national_yearly!$D:$AM, 10, FALSE), 1)</f>
        <v>3.4514659118148305E-6</v>
      </c>
      <c r="G3" s="7">
        <f>$B3 * IFERROR(VLOOKUP("industry|SO2|Infant mortality", US_national_yearly!$D:$AM, 15, FALSE) / VLOOKUP("industry|SO2|Infant mortality", US_national_yearly!$D:$AM, 10, FALSE), 1)</f>
        <v>2.2976351496929942E-6</v>
      </c>
      <c r="H3" s="7">
        <f>$B3 * IFERROR(VLOOKUP("industry|SO2|Infant mortality", US_national_yearly!$D:$AM, 16, FALSE) / VLOOKUP("industry|SO2|Infant mortality", US_national_yearly!$D:$AM, 10, FALSE), 1)</f>
        <v>1.1438043875711578E-6</v>
      </c>
      <c r="I3" s="7">
        <f>$B3 * IFERROR(VLOOKUP("industry|SO2|Infant mortality", US_national_yearly!$D:$AM, 17, FALSE) / VLOOKUP("industry|SO2|Infant mortality", US_national_yearly!$D:$AM, 10, FALSE), 1)</f>
        <v>1.1365413272659947E-6</v>
      </c>
      <c r="J3" s="7">
        <f>$B3 * IFERROR(VLOOKUP("industry|SO2|Infant mortality", US_national_yearly!$D:$AM, 18, FALSE) / VLOOKUP("industry|SO2|Infant mortality", US_national_yearly!$D:$AM, 10, FALSE), 1)</f>
        <v>1.1292782669608317E-6</v>
      </c>
      <c r="K3" s="7">
        <f>$B3 * IFERROR(VLOOKUP("industry|SO2|Infant mortality", US_national_yearly!$D:$AM, 19, FALSE) / VLOOKUP("industry|SO2|Infant mortality", US_national_yearly!$D:$AM, 10, FALSE), 1)</f>
        <v>1.1220152066556686E-6</v>
      </c>
      <c r="L3" s="7">
        <f>$B3 * IFERROR(VLOOKUP("industry|SO2|Infant mortality", US_national_yearly!$D:$AM, 20, FALSE) / VLOOKUP("industry|SO2|Infant mortality", US_national_yearly!$D:$AM, 10, FALSE), 1)</f>
        <v>1.1147521463505056E-6</v>
      </c>
      <c r="M3" s="7">
        <f>$B3 * IFERROR(VLOOKUP("industry|SO2|Infant mortality", US_national_yearly!$D:$AM, 21, FALSE) / VLOOKUP("industry|SO2|Infant mortality", US_national_yearly!$D:$AM, 10, FALSE), 1)</f>
        <v>1.1074890860453425E-6</v>
      </c>
      <c r="N3" s="7">
        <f>$B3 * IFERROR(VLOOKUP("industry|SO2|Infant mortality", US_national_yearly!$D:$AM, 22, FALSE) / VLOOKUP("industry|SO2|Infant mortality", US_national_yearly!$D:$AM, 10, FALSE), 1)</f>
        <v>1.102885724302453E-6</v>
      </c>
      <c r="O3" s="7">
        <f>$B3 * IFERROR(VLOOKUP("industry|SO2|Infant mortality", US_national_yearly!$D:$AM, 23, FALSE) / VLOOKUP("industry|SO2|Infant mortality", US_national_yearly!$D:$AM, 10, FALSE), 1)</f>
        <v>1.0982823625595634E-6</v>
      </c>
      <c r="P3" s="7">
        <f>$B3 * IFERROR(VLOOKUP("industry|SO2|Infant mortality", US_national_yearly!$D:$AM, 24, FALSE) / VLOOKUP("industry|SO2|Infant mortality", US_national_yearly!$D:$AM, 10, FALSE), 1)</f>
        <v>1.0936790008166737E-6</v>
      </c>
      <c r="Q3" s="7">
        <f>$B3 * IFERROR(VLOOKUP("industry|SO2|Infant mortality", US_national_yearly!$D:$AM, 25, FALSE) / VLOOKUP("industry|SO2|Infant mortality", US_national_yearly!$D:$AM, 10, FALSE), 1)</f>
        <v>1.0890756390737841E-6</v>
      </c>
      <c r="R3" s="7">
        <f>$B3 * IFERROR(VLOOKUP("industry|SO2|Infant mortality", US_national_yearly!$D:$AM, 26, FALSE) / VLOOKUP("industry|SO2|Infant mortality", US_national_yearly!$D:$AM, 10, FALSE), 1)</f>
        <v>1.0844722773308946E-6</v>
      </c>
      <c r="S3" s="7">
        <f>$B3 * IFERROR(VLOOKUP("industry|SO2|Infant mortality", US_national_yearly!$D:$AM, 27, FALSE) / VLOOKUP("industry|SO2|Infant mortality", US_national_yearly!$D:$AM, 10, FALSE), 1)</f>
        <v>1.0787434461555652E-6</v>
      </c>
      <c r="T3" s="7">
        <f>$B3 * IFERROR(VLOOKUP("industry|SO2|Infant mortality", US_national_yearly!$D:$AM, 28, FALSE) / VLOOKUP("industry|SO2|Infant mortality", US_national_yearly!$D:$AM, 10, FALSE), 1)</f>
        <v>1.0730146149802359E-6</v>
      </c>
      <c r="U3" s="7">
        <f>$B3 * IFERROR(VLOOKUP("industry|SO2|Infant mortality", US_national_yearly!$D:$AM, 29, FALSE) / VLOOKUP("industry|SO2|Infant mortality", US_national_yearly!$D:$AM, 10, FALSE), 1)</f>
        <v>1.0672857838049065E-6</v>
      </c>
      <c r="V3" s="7">
        <f>$B3 * IFERROR(VLOOKUP("industry|SO2|Infant mortality", US_national_yearly!$D:$AM, 30, FALSE) / VLOOKUP("industry|SO2|Infant mortality", US_national_yearly!$D:$AM, 10, FALSE), 1)</f>
        <v>1.061556952629577E-6</v>
      </c>
      <c r="W3" s="7">
        <f>$B3 * IFERROR(VLOOKUP("industry|SO2|Infant mortality", US_national_yearly!$D:$AM, 31, FALSE) / VLOOKUP("industry|SO2|Infant mortality", US_national_yearly!$D:$AM, 10, FALSE), 1)</f>
        <v>1.0558281214542476E-6</v>
      </c>
      <c r="X3" s="7">
        <f>$B3 * IFERROR(VLOOKUP("industry|SO2|Infant mortality", US_national_yearly!$D:$AM, 32, FALSE) / VLOOKUP("industry|SO2|Infant mortality", US_national_yearly!$D:$AM, 10, FALSE), 1)</f>
        <v>1.0496025915707207E-6</v>
      </c>
      <c r="Y3" s="7">
        <f>$B3 * IFERROR(VLOOKUP("industry|SO2|Infant mortality", US_national_yearly!$D:$AM, 33, FALSE) / VLOOKUP("industry|SO2|Infant mortality", US_national_yearly!$D:$AM, 10, FALSE), 1)</f>
        <v>1.0433770616871935E-6</v>
      </c>
      <c r="Z3" s="7">
        <f>$B3 * IFERROR(VLOOKUP("industry|SO2|Infant mortality", US_national_yearly!$D:$AM, 34, FALSE) / VLOOKUP("industry|SO2|Infant mortality", US_national_yearly!$D:$AM, 10, FALSE), 1)</f>
        <v>1.0371515318036666E-6</v>
      </c>
      <c r="AA3" s="7">
        <f>$B3 * IFERROR(VLOOKUP("industry|SO2|Infant mortality", US_national_yearly!$D:$AM, 35, FALSE) / VLOOKUP("industry|SO2|Infant mortality", US_national_yearly!$D:$AM, 10, FALSE), 1)</f>
        <v>1.0309260019201394E-6</v>
      </c>
      <c r="AB3" s="7">
        <f>$B3 * IFERROR(VLOOKUP("industry|SO2|Infant mortality", US_national_yearly!$D:$AM, 36, FALSE) / VLOOKUP("industry|SO2|Infant mortality", US_national_yearly!$D:$AM, 10, FALSE), 1)</f>
        <v>1.0247004720366125E-6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3.4186305677413147E-3</v>
      </c>
      <c r="C6" s="7">
        <f>$B6 * IFERROR(VLOOKUP("industry|SO2|Asthma symptoms cough", US_national_yearly!$D:$AM, 11, FALSE) / VLOOKUP("industry|SO2|Asthma symptoms cough", US_national_yearly!$D:$AM, 10, FALSE), 1)</f>
        <v>3.4186305677413147E-3</v>
      </c>
      <c r="D6" s="7">
        <f>$B6 * IFERROR(VLOOKUP("industry|SO2|Asthma symptoms cough", US_national_yearly!$D:$AM, 12, FALSE) / VLOOKUP("industry|SO2|Asthma symptoms cough", US_national_yearly!$D:$AM, 10, FALSE), 1)</f>
        <v>3.4186305677413147E-3</v>
      </c>
      <c r="E6" s="7">
        <f>$B6 * IFERROR(VLOOKUP("industry|SO2|Asthma symptoms cough", US_national_yearly!$D:$AM, 13, FALSE) / VLOOKUP("industry|SO2|Asthma symptoms cough", US_national_yearly!$D:$AM, 10, FALSE), 1)</f>
        <v>3.4186305677413147E-3</v>
      </c>
      <c r="F6" s="7">
        <f>$B6 * IFERROR(VLOOKUP("industry|SO2|Asthma symptoms cough", US_national_yearly!$D:$AM, 14, FALSE) / VLOOKUP("industry|SO2|Asthma symptoms cough", US_national_yearly!$D:$AM, 10, FALSE), 1)</f>
        <v>3.4186305677413147E-3</v>
      </c>
      <c r="G6" s="7">
        <f>$B6 * IFERROR(VLOOKUP("industry|SO2|Asthma symptoms cough", US_national_yearly!$D:$AM, 15, FALSE) / VLOOKUP("industry|SO2|Asthma symptoms cough", US_national_yearly!$D:$AM, 10, FALSE), 1)</f>
        <v>3.4186305677413147E-3</v>
      </c>
      <c r="H6" s="7">
        <f>$B6 * IFERROR(VLOOKUP("industry|SO2|Asthma symptoms cough", US_national_yearly!$D:$AM, 16, FALSE) / VLOOKUP("industry|SO2|Asthma symptoms cough", US_national_yearly!$D:$AM, 10, FALSE), 1)</f>
        <v>3.4186305677413147E-3</v>
      </c>
      <c r="I6" s="7">
        <f>$B6 * IFERROR(VLOOKUP("industry|SO2|Asthma symptoms cough", US_national_yearly!$D:$AM, 17, FALSE) / VLOOKUP("industry|SO2|Asthma symptoms cough", US_national_yearly!$D:$AM, 10, FALSE), 1)</f>
        <v>3.4186305677413147E-3</v>
      </c>
      <c r="J6" s="7">
        <f>$B6 * IFERROR(VLOOKUP("industry|SO2|Asthma symptoms cough", US_national_yearly!$D:$AM, 18, FALSE) / VLOOKUP("industry|SO2|Asthma symptoms cough", US_national_yearly!$D:$AM, 10, FALSE), 1)</f>
        <v>3.4186305677413147E-3</v>
      </c>
      <c r="K6" s="7">
        <f>$B6 * IFERROR(VLOOKUP("industry|SO2|Asthma symptoms cough", US_national_yearly!$D:$AM, 19, FALSE) / VLOOKUP("industry|SO2|Asthma symptoms cough", US_national_yearly!$D:$AM, 10, FALSE), 1)</f>
        <v>3.4186305677413147E-3</v>
      </c>
      <c r="L6" s="7">
        <f>$B6 * IFERROR(VLOOKUP("industry|SO2|Asthma symptoms cough", US_national_yearly!$D:$AM, 20, FALSE) / VLOOKUP("industry|SO2|Asthma symptoms cough", US_national_yearly!$D:$AM, 10, FALSE), 1)</f>
        <v>3.4186305677413147E-3</v>
      </c>
      <c r="M6" s="7">
        <f>$B6 * IFERROR(VLOOKUP("industry|SO2|Asthma symptoms cough", US_national_yearly!$D:$AM, 21, FALSE) / VLOOKUP("industry|SO2|Asthma symptoms cough", US_national_yearly!$D:$AM, 10, FALSE), 1)</f>
        <v>3.4186305677413147E-3</v>
      </c>
      <c r="N6" s="7">
        <f>$B6 * IFERROR(VLOOKUP("industry|SO2|Asthma symptoms cough", US_national_yearly!$D:$AM, 22, FALSE) / VLOOKUP("industry|SO2|Asthma symptoms cough", US_national_yearly!$D:$AM, 10, FALSE), 1)</f>
        <v>3.4186305677413147E-3</v>
      </c>
      <c r="O6" s="7">
        <f>$B6 * IFERROR(VLOOKUP("industry|SO2|Asthma symptoms cough", US_national_yearly!$D:$AM, 23, FALSE) / VLOOKUP("industry|SO2|Asthma symptoms cough", US_national_yearly!$D:$AM, 10, FALSE), 1)</f>
        <v>3.4186305677413147E-3</v>
      </c>
      <c r="P6" s="7">
        <f>$B6 * IFERROR(VLOOKUP("industry|SO2|Asthma symptoms cough", US_national_yearly!$D:$AM, 24, FALSE) / VLOOKUP("industry|SO2|Asthma symptoms cough", US_national_yearly!$D:$AM, 10, FALSE), 1)</f>
        <v>3.4186305677413147E-3</v>
      </c>
      <c r="Q6" s="7">
        <f>$B6 * IFERROR(VLOOKUP("industry|SO2|Asthma symptoms cough", US_national_yearly!$D:$AM, 25, FALSE) / VLOOKUP("industry|SO2|Asthma symptoms cough", US_national_yearly!$D:$AM, 10, FALSE), 1)</f>
        <v>3.4186305677413147E-3</v>
      </c>
      <c r="R6" s="7">
        <f>$B6 * IFERROR(VLOOKUP("industry|SO2|Asthma symptoms cough", US_national_yearly!$D:$AM, 26, FALSE) / VLOOKUP("industry|SO2|Asthma symptoms cough", US_national_yearly!$D:$AM, 10, FALSE), 1)</f>
        <v>3.4186305677413147E-3</v>
      </c>
      <c r="S6" s="7">
        <f>$B6 * IFERROR(VLOOKUP("industry|SO2|Asthma symptoms cough", US_national_yearly!$D:$AM, 27, FALSE) / VLOOKUP("industry|SO2|Asthma symptoms cough", US_national_yearly!$D:$AM, 10, FALSE), 1)</f>
        <v>3.4186305677413147E-3</v>
      </c>
      <c r="T6" s="7">
        <f>$B6 * IFERROR(VLOOKUP("industry|SO2|Asthma symptoms cough", US_national_yearly!$D:$AM, 28, FALSE) / VLOOKUP("industry|SO2|Asthma symptoms cough", US_national_yearly!$D:$AM, 10, FALSE), 1)</f>
        <v>3.4186305677413147E-3</v>
      </c>
      <c r="U6" s="7">
        <f>$B6 * IFERROR(VLOOKUP("industry|SO2|Asthma symptoms cough", US_national_yearly!$D:$AM, 29, FALSE) / VLOOKUP("industry|SO2|Asthma symptoms cough", US_national_yearly!$D:$AM, 10, FALSE), 1)</f>
        <v>3.4186305677413147E-3</v>
      </c>
      <c r="V6" s="7">
        <f>$B6 * IFERROR(VLOOKUP("industry|SO2|Asthma symptoms cough", US_national_yearly!$D:$AM, 30, FALSE) / VLOOKUP("industry|SO2|Asthma symptoms cough", US_national_yearly!$D:$AM, 10, FALSE), 1)</f>
        <v>3.4186305677413147E-3</v>
      </c>
      <c r="W6" s="7">
        <f>$B6 * IFERROR(VLOOKUP("industry|SO2|Asthma symptoms cough", US_national_yearly!$D:$AM, 31, FALSE) / VLOOKUP("industry|SO2|Asthma symptoms cough", US_national_yearly!$D:$AM, 10, FALSE), 1)</f>
        <v>3.4186305677413147E-3</v>
      </c>
      <c r="X6" s="7">
        <f>$B6 * IFERROR(VLOOKUP("industry|SO2|Asthma symptoms cough", US_national_yearly!$D:$AM, 32, FALSE) / VLOOKUP("industry|SO2|Asthma symptoms cough", US_national_yearly!$D:$AM, 10, FALSE), 1)</f>
        <v>3.4186305677413147E-3</v>
      </c>
      <c r="Y6" s="7">
        <f>$B6 * IFERROR(VLOOKUP("industry|SO2|Asthma symptoms cough", US_national_yearly!$D:$AM, 33, FALSE) / VLOOKUP("industry|SO2|Asthma symptoms cough", US_national_yearly!$D:$AM, 10, FALSE), 1)</f>
        <v>3.4186305677413147E-3</v>
      </c>
      <c r="Z6" s="7">
        <f>$B6 * IFERROR(VLOOKUP("industry|SO2|Asthma symptoms cough", US_national_yearly!$D:$AM, 34, FALSE) / VLOOKUP("industry|SO2|Asthma symptoms cough", US_national_yearly!$D:$AM, 10, FALSE), 1)</f>
        <v>3.4186305677413147E-3</v>
      </c>
      <c r="AA6" s="7">
        <f>$B6 * IFERROR(VLOOKUP("industry|SO2|Asthma symptoms cough", US_national_yearly!$D:$AM, 35, FALSE) / VLOOKUP("industry|SO2|Asthma symptoms cough", US_national_yearly!$D:$AM, 10, FALSE), 1)</f>
        <v>3.4186305677413147E-3</v>
      </c>
      <c r="AB6" s="7">
        <f>$B6 * IFERROR(VLOOKUP("industry|SO2|Asthma symptoms cough", US_national_yearly!$D:$AM, 36, FALSE) / VLOOKUP("industry|SO2|Asthma symptoms cough", US_national_yearly!$D:$AM, 10, FALSE), 1)</f>
        <v>3.4186305677413147E-3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4.6036710592974768E-3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4.6036710592974768E-3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4.6036710592974768E-3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4.6036710592974768E-3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4.6036710592974768E-3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4.6036710592974768E-3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4.6036710592974768E-3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4.6036710592974768E-3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4.6036710592974768E-3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4.6036710592974768E-3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4.6036710592974768E-3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4.6036710592974768E-3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4.6036710592974768E-3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4.6036710592974768E-3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4.6036710592974768E-3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4.6036710592974768E-3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4.6036710592974768E-3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4.6036710592974768E-3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4.6036710592974768E-3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4.6036710592974768E-3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4.6036710592974768E-3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4.6036710592974768E-3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4.6036710592974768E-3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4.6036710592974768E-3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4.6036710592974768E-3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4.6036710592974768E-3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4.6036710592974768E-3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7.0336686119180994E-3</v>
      </c>
      <c r="C8" s="7">
        <f>$B8 * IFERROR(VLOOKUP("industry|SO2|Asthma symptoms wheeze", US_national_yearly!$D:$AM, 11, FALSE) / VLOOKUP("industry|SO2|Asthma symptoms wheeze", US_national_yearly!$D:$AM, 10, FALSE), 1)</f>
        <v>7.0336686119180994E-3</v>
      </c>
      <c r="D8" s="7">
        <f>$B8 * IFERROR(VLOOKUP("industry|SO2|Asthma symptoms wheeze", US_national_yearly!$D:$AM, 12, FALSE) / VLOOKUP("industry|SO2|Asthma symptoms wheeze", US_national_yearly!$D:$AM, 10, FALSE), 1)</f>
        <v>7.0336686119180994E-3</v>
      </c>
      <c r="E8" s="7">
        <f>$B8 * IFERROR(VLOOKUP("industry|SO2|Asthma symptoms wheeze", US_national_yearly!$D:$AM, 13, FALSE) / VLOOKUP("industry|SO2|Asthma symptoms wheeze", US_national_yearly!$D:$AM, 10, FALSE), 1)</f>
        <v>7.0336686119180994E-3</v>
      </c>
      <c r="F8" s="7">
        <f>$B8 * IFERROR(VLOOKUP("industry|SO2|Asthma symptoms wheeze", US_national_yearly!$D:$AM, 14, FALSE) / VLOOKUP("industry|SO2|Asthma symptoms wheeze", US_national_yearly!$D:$AM, 10, FALSE), 1)</f>
        <v>7.0336686119180994E-3</v>
      </c>
      <c r="G8" s="7">
        <f>$B8 * IFERROR(VLOOKUP("industry|SO2|Asthma symptoms wheeze", US_national_yearly!$D:$AM, 15, FALSE) / VLOOKUP("industry|SO2|Asthma symptoms wheeze", US_national_yearly!$D:$AM, 10, FALSE), 1)</f>
        <v>7.0336686119180994E-3</v>
      </c>
      <c r="H8" s="7">
        <f>$B8 * IFERROR(VLOOKUP("industry|SO2|Asthma symptoms wheeze", US_national_yearly!$D:$AM, 16, FALSE) / VLOOKUP("industry|SO2|Asthma symptoms wheeze", US_national_yearly!$D:$AM, 10, FALSE), 1)</f>
        <v>7.0336686119180994E-3</v>
      </c>
      <c r="I8" s="7">
        <f>$B8 * IFERROR(VLOOKUP("industry|SO2|Asthma symptoms wheeze", US_national_yearly!$D:$AM, 17, FALSE) / VLOOKUP("industry|SO2|Asthma symptoms wheeze", US_national_yearly!$D:$AM, 10, FALSE), 1)</f>
        <v>7.0336686119180994E-3</v>
      </c>
      <c r="J8" s="7">
        <f>$B8 * IFERROR(VLOOKUP("industry|SO2|Asthma symptoms wheeze", US_national_yearly!$D:$AM, 18, FALSE) / VLOOKUP("industry|SO2|Asthma symptoms wheeze", US_national_yearly!$D:$AM, 10, FALSE), 1)</f>
        <v>7.0336686119180994E-3</v>
      </c>
      <c r="K8" s="7">
        <f>$B8 * IFERROR(VLOOKUP("industry|SO2|Asthma symptoms wheeze", US_national_yearly!$D:$AM, 19, FALSE) / VLOOKUP("industry|SO2|Asthma symptoms wheeze", US_national_yearly!$D:$AM, 10, FALSE), 1)</f>
        <v>7.0336686119180994E-3</v>
      </c>
      <c r="L8" s="7">
        <f>$B8 * IFERROR(VLOOKUP("industry|SO2|Asthma symptoms wheeze", US_national_yearly!$D:$AM, 20, FALSE) / VLOOKUP("industry|SO2|Asthma symptoms wheeze", US_national_yearly!$D:$AM, 10, FALSE), 1)</f>
        <v>7.0336686119180994E-3</v>
      </c>
      <c r="M8" s="7">
        <f>$B8 * IFERROR(VLOOKUP("industry|SO2|Asthma symptoms wheeze", US_national_yearly!$D:$AM, 21, FALSE) / VLOOKUP("industry|SO2|Asthma symptoms wheeze", US_national_yearly!$D:$AM, 10, FALSE), 1)</f>
        <v>7.0336686119180994E-3</v>
      </c>
      <c r="N8" s="7">
        <f>$B8 * IFERROR(VLOOKUP("industry|SO2|Asthma symptoms wheeze", US_national_yearly!$D:$AM, 22, FALSE) / VLOOKUP("industry|SO2|Asthma symptoms wheeze", US_national_yearly!$D:$AM, 10, FALSE), 1)</f>
        <v>7.0336686119180994E-3</v>
      </c>
      <c r="O8" s="7">
        <f>$B8 * IFERROR(VLOOKUP("industry|SO2|Asthma symptoms wheeze", US_national_yearly!$D:$AM, 23, FALSE) / VLOOKUP("industry|SO2|Asthma symptoms wheeze", US_national_yearly!$D:$AM, 10, FALSE), 1)</f>
        <v>7.0336686119180994E-3</v>
      </c>
      <c r="P8" s="7">
        <f>$B8 * IFERROR(VLOOKUP("industry|SO2|Asthma symptoms wheeze", US_national_yearly!$D:$AM, 24, FALSE) / VLOOKUP("industry|SO2|Asthma symptoms wheeze", US_national_yearly!$D:$AM, 10, FALSE), 1)</f>
        <v>7.0336686119180994E-3</v>
      </c>
      <c r="Q8" s="7">
        <f>$B8 * IFERROR(VLOOKUP("industry|SO2|Asthma symptoms wheeze", US_national_yearly!$D:$AM, 25, FALSE) / VLOOKUP("industry|SO2|Asthma symptoms wheeze", US_national_yearly!$D:$AM, 10, FALSE), 1)</f>
        <v>7.0336686119180994E-3</v>
      </c>
      <c r="R8" s="7">
        <f>$B8 * IFERROR(VLOOKUP("industry|SO2|Asthma symptoms wheeze", US_national_yearly!$D:$AM, 26, FALSE) / VLOOKUP("industry|SO2|Asthma symptoms wheeze", US_national_yearly!$D:$AM, 10, FALSE), 1)</f>
        <v>7.0336686119180994E-3</v>
      </c>
      <c r="S8" s="7">
        <f>$B8 * IFERROR(VLOOKUP("industry|SO2|Asthma symptoms wheeze", US_national_yearly!$D:$AM, 27, FALSE) / VLOOKUP("industry|SO2|Asthma symptoms wheeze", US_national_yearly!$D:$AM, 10, FALSE), 1)</f>
        <v>7.0336686119180994E-3</v>
      </c>
      <c r="T8" s="7">
        <f>$B8 * IFERROR(VLOOKUP("industry|SO2|Asthma symptoms wheeze", US_national_yearly!$D:$AM, 28, FALSE) / VLOOKUP("industry|SO2|Asthma symptoms wheeze", US_national_yearly!$D:$AM, 10, FALSE), 1)</f>
        <v>7.0336686119180994E-3</v>
      </c>
      <c r="U8" s="7">
        <f>$B8 * IFERROR(VLOOKUP("industry|SO2|Asthma symptoms wheeze", US_national_yearly!$D:$AM, 29, FALSE) / VLOOKUP("industry|SO2|Asthma symptoms wheeze", US_national_yearly!$D:$AM, 10, FALSE), 1)</f>
        <v>7.0336686119180994E-3</v>
      </c>
      <c r="V8" s="7">
        <f>$B8 * IFERROR(VLOOKUP("industry|SO2|Asthma symptoms wheeze", US_national_yearly!$D:$AM, 30, FALSE) / VLOOKUP("industry|SO2|Asthma symptoms wheeze", US_national_yearly!$D:$AM, 10, FALSE), 1)</f>
        <v>7.0336686119180994E-3</v>
      </c>
      <c r="W8" s="7">
        <f>$B8 * IFERROR(VLOOKUP("industry|SO2|Asthma symptoms wheeze", US_national_yearly!$D:$AM, 31, FALSE) / VLOOKUP("industry|SO2|Asthma symptoms wheeze", US_national_yearly!$D:$AM, 10, FALSE), 1)</f>
        <v>7.0336686119180994E-3</v>
      </c>
      <c r="X8" s="7">
        <f>$B8 * IFERROR(VLOOKUP("industry|SO2|Asthma symptoms wheeze", US_national_yearly!$D:$AM, 32, FALSE) / VLOOKUP("industry|SO2|Asthma symptoms wheeze", US_national_yearly!$D:$AM, 10, FALSE), 1)</f>
        <v>7.0336686119180994E-3</v>
      </c>
      <c r="Y8" s="7">
        <f>$B8 * IFERROR(VLOOKUP("industry|SO2|Asthma symptoms wheeze", US_national_yearly!$D:$AM, 33, FALSE) / VLOOKUP("industry|SO2|Asthma symptoms wheeze", US_national_yearly!$D:$AM, 10, FALSE), 1)</f>
        <v>7.0336686119180994E-3</v>
      </c>
      <c r="Z8" s="7">
        <f>$B8 * IFERROR(VLOOKUP("industry|SO2|Asthma symptoms wheeze", US_national_yearly!$D:$AM, 34, FALSE) / VLOOKUP("industry|SO2|Asthma symptoms wheeze", US_national_yearly!$D:$AM, 10, FALSE), 1)</f>
        <v>7.0336686119180994E-3</v>
      </c>
      <c r="AA8" s="7">
        <f>$B8 * IFERROR(VLOOKUP("industry|SO2|Asthma symptoms wheeze", US_national_yearly!$D:$AM, 35, FALSE) / VLOOKUP("industry|SO2|Asthma symptoms wheeze", US_national_yearly!$D:$AM, 10, FALSE), 1)</f>
        <v>7.0336686119180994E-3</v>
      </c>
      <c r="AB8" s="7">
        <f>$B8 * IFERROR(VLOOKUP("industry|SO2|Asthma symptoms wheeze", US_national_yearly!$D:$AM, 36, FALSE) / VLOOKUP("industry|SO2|Asthma symptoms wheeze", US_national_yearly!$D:$AM, 10, FALSE), 1)</f>
        <v>7.0336686119180994E-3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1.1908688220171956E-4</v>
      </c>
      <c r="C12" s="7">
        <f>$B12 * IFERROR(VLOOKUP("industry|SO2|Respiratory hospital admissions", US_national_yearly!$D:$AM, 11, FALSE) / VLOOKUP("industry|SO2|Respiratory hospital admissions", US_national_yearly!$D:$AM, 10, FALSE), 1)</f>
        <v>1.1978450398842068E-4</v>
      </c>
      <c r="D12" s="7">
        <f>$B12 * IFERROR(VLOOKUP("industry|SO2|Respiratory hospital admissions", US_national_yearly!$D:$AM, 12, FALSE) / VLOOKUP("industry|SO2|Respiratory hospital admissions", US_national_yearly!$D:$AM, 10, FALSE), 1)</f>
        <v>1.2048212577512179E-4</v>
      </c>
      <c r="E12" s="7">
        <f>$B12 * IFERROR(VLOOKUP("industry|SO2|Respiratory hospital admissions", US_national_yearly!$D:$AM, 13, FALSE) / VLOOKUP("industry|SO2|Respiratory hospital admissions", US_national_yearly!$D:$AM, 10, FALSE), 1)</f>
        <v>1.211797475618229E-4</v>
      </c>
      <c r="F12" s="7">
        <f>$B12 * IFERROR(VLOOKUP("industry|SO2|Respiratory hospital admissions", US_national_yearly!$D:$AM, 14, FALSE) / VLOOKUP("industry|SO2|Respiratory hospital admissions", US_national_yearly!$D:$AM, 10, FALSE), 1)</f>
        <v>1.2187736934852404E-4</v>
      </c>
      <c r="G12" s="7">
        <f>$B12 * IFERROR(VLOOKUP("industry|SO2|Respiratory hospital admissions", US_national_yearly!$D:$AM, 15, FALSE) / VLOOKUP("industry|SO2|Respiratory hospital admissions", US_national_yearly!$D:$AM, 10, FALSE), 1)</f>
        <v>1.2263791204550819E-4</v>
      </c>
      <c r="H12" s="7">
        <f>$B12 * IFERROR(VLOOKUP("industry|SO2|Respiratory hospital admissions", US_national_yearly!$D:$AM, 16, FALSE) / VLOOKUP("industry|SO2|Respiratory hospital admissions", US_national_yearly!$D:$AM, 10, FALSE), 1)</f>
        <v>1.2339845474249235E-4</v>
      </c>
      <c r="I12" s="7">
        <f>$B12 * IFERROR(VLOOKUP("industry|SO2|Respiratory hospital admissions", US_national_yearly!$D:$AM, 17, FALSE) / VLOOKUP("industry|SO2|Respiratory hospital admissions", US_national_yearly!$D:$AM, 10, FALSE), 1)</f>
        <v>1.2414543237796981E-4</v>
      </c>
      <c r="J12" s="7">
        <f>$B12 * IFERROR(VLOOKUP("industry|SO2|Respiratory hospital admissions", US_national_yearly!$D:$AM, 18, FALSE) / VLOOKUP("industry|SO2|Respiratory hospital admissions", US_national_yearly!$D:$AM, 10, FALSE), 1)</f>
        <v>1.2489241001344728E-4</v>
      </c>
      <c r="K12" s="7">
        <f>$B12 * IFERROR(VLOOKUP("industry|SO2|Respiratory hospital admissions", US_national_yearly!$D:$AM, 19, FALSE) / VLOOKUP("industry|SO2|Respiratory hospital admissions", US_national_yearly!$D:$AM, 10, FALSE), 1)</f>
        <v>1.2563938764892471E-4</v>
      </c>
      <c r="L12" s="7">
        <f>$B12 * IFERROR(VLOOKUP("industry|SO2|Respiratory hospital admissions", US_national_yearly!$D:$AM, 20, FALSE) / VLOOKUP("industry|SO2|Respiratory hospital admissions", US_national_yearly!$D:$AM, 10, FALSE), 1)</f>
        <v>1.2638636528440218E-4</v>
      </c>
      <c r="M12" s="7">
        <f>$B12 * IFERROR(VLOOKUP("industry|SO2|Respiratory hospital admissions", US_national_yearly!$D:$AM, 21, FALSE) / VLOOKUP("industry|SO2|Respiratory hospital admissions", US_national_yearly!$D:$AM, 10, FALSE), 1)</f>
        <v>1.2713334291987964E-4</v>
      </c>
      <c r="N12" s="7">
        <f>$B12 * IFERROR(VLOOKUP("industry|SO2|Respiratory hospital admissions", US_national_yearly!$D:$AM, 22, FALSE) / VLOOKUP("industry|SO2|Respiratory hospital admissions", US_national_yearly!$D:$AM, 10, FALSE), 1)</f>
        <v>1.2767386645071879E-4</v>
      </c>
      <c r="O12" s="7">
        <f>$B12 * IFERROR(VLOOKUP("industry|SO2|Respiratory hospital admissions", US_national_yearly!$D:$AM, 23, FALSE) / VLOOKUP("industry|SO2|Respiratory hospital admissions", US_national_yearly!$D:$AM, 10, FALSE), 1)</f>
        <v>1.2821438998155795E-4</v>
      </c>
      <c r="P12" s="7">
        <f>$B12 * IFERROR(VLOOKUP("industry|SO2|Respiratory hospital admissions", US_national_yearly!$D:$AM, 24, FALSE) / VLOOKUP("industry|SO2|Respiratory hospital admissions", US_national_yearly!$D:$AM, 10, FALSE), 1)</f>
        <v>1.2875491351239707E-4</v>
      </c>
      <c r="Q12" s="7">
        <f>$B12 * IFERROR(VLOOKUP("industry|SO2|Respiratory hospital admissions", US_national_yearly!$D:$AM, 25, FALSE) / VLOOKUP("industry|SO2|Respiratory hospital admissions", US_national_yearly!$D:$AM, 10, FALSE), 1)</f>
        <v>1.2929543704323621E-4</v>
      </c>
      <c r="R12" s="7">
        <f>$B12 * IFERROR(VLOOKUP("industry|SO2|Respiratory hospital admissions", US_national_yearly!$D:$AM, 26, FALSE) / VLOOKUP("industry|SO2|Respiratory hospital admissions", US_national_yearly!$D:$AM, 10, FALSE), 1)</f>
        <v>1.2983596057407535E-4</v>
      </c>
      <c r="S12" s="7">
        <f>$B12 * IFERROR(VLOOKUP("industry|SO2|Respiratory hospital admissions", US_national_yearly!$D:$AM, 27, FALSE) / VLOOKUP("industry|SO2|Respiratory hospital admissions", US_national_yearly!$D:$AM, 10, FALSE), 1)</f>
        <v>1.3034964556704886E-4</v>
      </c>
      <c r="T12" s="7">
        <f>$B12 * IFERROR(VLOOKUP("industry|SO2|Respiratory hospital admissions", US_national_yearly!$D:$AM, 28, FALSE) / VLOOKUP("industry|SO2|Respiratory hospital admissions", US_national_yearly!$D:$AM, 10, FALSE), 1)</f>
        <v>1.3086333056002233E-4</v>
      </c>
      <c r="U12" s="7">
        <f>$B12 * IFERROR(VLOOKUP("industry|SO2|Respiratory hospital admissions", US_national_yearly!$D:$AM, 29, FALSE) / VLOOKUP("industry|SO2|Respiratory hospital admissions", US_national_yearly!$D:$AM, 10, FALSE), 1)</f>
        <v>1.3137701555299581E-4</v>
      </c>
      <c r="V12" s="7">
        <f>$B12 * IFERROR(VLOOKUP("industry|SO2|Respiratory hospital admissions", US_national_yearly!$D:$AM, 30, FALSE) / VLOOKUP("industry|SO2|Respiratory hospital admissions", US_national_yearly!$D:$AM, 10, FALSE), 1)</f>
        <v>1.3189070054596931E-4</v>
      </c>
      <c r="W12" s="7">
        <f>$B12 * IFERROR(VLOOKUP("industry|SO2|Respiratory hospital admissions", US_national_yearly!$D:$AM, 31, FALSE) / VLOOKUP("industry|SO2|Respiratory hospital admissions", US_national_yearly!$D:$AM, 10, FALSE), 1)</f>
        <v>1.3240438553894279E-4</v>
      </c>
      <c r="X12" s="7">
        <f>$B12 * IFERROR(VLOOKUP("industry|SO2|Respiratory hospital admissions", US_national_yearly!$D:$AM, 32, FALSE) / VLOOKUP("industry|SO2|Respiratory hospital admissions", US_national_yearly!$D:$AM, 10, FALSE), 1)</f>
        <v>1.3289218852478851E-4</v>
      </c>
      <c r="Y12" s="7">
        <f>$B12 * IFERROR(VLOOKUP("industry|SO2|Respiratory hospital admissions", US_national_yearly!$D:$AM, 33, FALSE) / VLOOKUP("industry|SO2|Respiratory hospital admissions", US_national_yearly!$D:$AM, 10, FALSE), 1)</f>
        <v>1.3337999151063427E-4</v>
      </c>
      <c r="Z12" s="7">
        <f>$B12 * IFERROR(VLOOKUP("industry|SO2|Respiratory hospital admissions", US_national_yearly!$D:$AM, 34, FALSE) / VLOOKUP("industry|SO2|Respiratory hospital admissions", US_national_yearly!$D:$AM, 10, FALSE), 1)</f>
        <v>1.3386779449647997E-4</v>
      </c>
      <c r="AA12" s="7">
        <f>$B12 * IFERROR(VLOOKUP("industry|SO2|Respiratory hospital admissions", US_national_yearly!$D:$AM, 35, FALSE) / VLOOKUP("industry|SO2|Respiratory hospital admissions", US_national_yearly!$D:$AM, 10, FALSE), 1)</f>
        <v>1.343555974823257E-4</v>
      </c>
      <c r="AB12" s="7">
        <f>$B12 * IFERROR(VLOOKUP("industry|SO2|Respiratory hospital admissions", US_national_yearly!$D:$AM, 36, FALSE) / VLOOKUP("industry|SO2|Respiratory hospital admissions", US_national_yearly!$D:$AM, 10, FALSE), 1)</f>
        <v>1.3484340046817145E-4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6.5765148635973437E-4</v>
      </c>
      <c r="C13" s="7">
        <f>$B13 * IFERROR(VLOOKUP("industry|SO2|Non-fatal heart attacks", US_national_yearly!$D:$AM, 11, FALSE) / VLOOKUP("industry|SO2|Non-fatal heart attacks", US_national_yearly!$D:$AM, 10, FALSE), 1)</f>
        <v>6.7695766784857262E-4</v>
      </c>
      <c r="D13" s="7">
        <f>$B13 * IFERROR(VLOOKUP("industry|SO2|Non-fatal heart attacks", US_national_yearly!$D:$AM, 12, FALSE) / VLOOKUP("industry|SO2|Non-fatal heart attacks", US_national_yearly!$D:$AM, 10, FALSE), 1)</f>
        <v>6.9626384933741087E-4</v>
      </c>
      <c r="E13" s="7">
        <f>$B13 * IFERROR(VLOOKUP("industry|SO2|Non-fatal heart attacks", US_national_yearly!$D:$AM, 13, FALSE) / VLOOKUP("industry|SO2|Non-fatal heart attacks", US_national_yearly!$D:$AM, 10, FALSE), 1)</f>
        <v>7.1557003082624901E-4</v>
      </c>
      <c r="F13" s="7">
        <f>$B13 * IFERROR(VLOOKUP("industry|SO2|Non-fatal heart attacks", US_national_yearly!$D:$AM, 14, FALSE) / VLOOKUP("industry|SO2|Non-fatal heart attacks", US_national_yearly!$D:$AM, 10, FALSE), 1)</f>
        <v>7.3487621231508736E-4</v>
      </c>
      <c r="G13" s="7">
        <f>$B13 * IFERROR(VLOOKUP("industry|SO2|Non-fatal heart attacks", US_national_yearly!$D:$AM, 15, FALSE) / VLOOKUP("industry|SO2|Non-fatal heart attacks", US_national_yearly!$D:$AM, 10, FALSE), 1)</f>
        <v>7.5309583924350809E-4</v>
      </c>
      <c r="H13" s="7">
        <f>$B13 * IFERROR(VLOOKUP("industry|SO2|Non-fatal heart attacks", US_national_yearly!$D:$AM, 16, FALSE) / VLOOKUP("industry|SO2|Non-fatal heart attacks", US_national_yearly!$D:$AM, 10, FALSE), 1)</f>
        <v>7.7131546617192892E-4</v>
      </c>
      <c r="I13" s="7">
        <f>$B13 * IFERROR(VLOOKUP("industry|SO2|Non-fatal heart attacks", US_national_yearly!$D:$AM, 17, FALSE) / VLOOKUP("industry|SO2|Non-fatal heart attacks", US_national_yearly!$D:$AM, 10, FALSE), 1)</f>
        <v>7.8600363918519757E-4</v>
      </c>
      <c r="J13" s="7">
        <f>$B13 * IFERROR(VLOOKUP("industry|SO2|Non-fatal heart attacks", US_national_yearly!$D:$AM, 18, FALSE) / VLOOKUP("industry|SO2|Non-fatal heart attacks", US_national_yearly!$D:$AM, 10, FALSE), 1)</f>
        <v>8.0069181219846644E-4</v>
      </c>
      <c r="K13" s="7">
        <f>$B13 * IFERROR(VLOOKUP("industry|SO2|Non-fatal heart attacks", US_national_yearly!$D:$AM, 19, FALSE) / VLOOKUP("industry|SO2|Non-fatal heart attacks", US_national_yearly!$D:$AM, 10, FALSE), 1)</f>
        <v>8.1537998521173519E-4</v>
      </c>
      <c r="L13" s="7">
        <f>$B13 * IFERROR(VLOOKUP("industry|SO2|Non-fatal heart attacks", US_national_yearly!$D:$AM, 20, FALSE) / VLOOKUP("industry|SO2|Non-fatal heart attacks", US_national_yearly!$D:$AM, 10, FALSE), 1)</f>
        <v>8.3006815822500395E-4</v>
      </c>
      <c r="M13" s="7">
        <f>$B13 * IFERROR(VLOOKUP("industry|SO2|Non-fatal heart attacks", US_national_yearly!$D:$AM, 21, FALSE) / VLOOKUP("industry|SO2|Non-fatal heart attacks", US_national_yearly!$D:$AM, 10, FALSE), 1)</f>
        <v>8.4475633123827271E-4</v>
      </c>
      <c r="N13" s="7">
        <f>$B13 * IFERROR(VLOOKUP("industry|SO2|Non-fatal heart attacks", US_national_yearly!$D:$AM, 22, FALSE) / VLOOKUP("industry|SO2|Non-fatal heart attacks", US_national_yearly!$D:$AM, 10, FALSE), 1)</f>
        <v>8.5429855095361538E-4</v>
      </c>
      <c r="O13" s="7">
        <f>$B13 * IFERROR(VLOOKUP("industry|SO2|Non-fatal heart attacks", US_national_yearly!$D:$AM, 23, FALSE) / VLOOKUP("industry|SO2|Non-fatal heart attacks", US_national_yearly!$D:$AM, 10, FALSE), 1)</f>
        <v>8.6384077066895828E-4</v>
      </c>
      <c r="P13" s="7">
        <f>$B13 * IFERROR(VLOOKUP("industry|SO2|Non-fatal heart attacks", US_national_yearly!$D:$AM, 24, FALSE) / VLOOKUP("industry|SO2|Non-fatal heart attacks", US_national_yearly!$D:$AM, 10, FALSE), 1)</f>
        <v>8.7338299038430096E-4</v>
      </c>
      <c r="Q13" s="7">
        <f>$B13 * IFERROR(VLOOKUP("industry|SO2|Non-fatal heart attacks", US_national_yearly!$D:$AM, 25, FALSE) / VLOOKUP("industry|SO2|Non-fatal heart attacks", US_national_yearly!$D:$AM, 10, FALSE), 1)</f>
        <v>8.8292521009964364E-4</v>
      </c>
      <c r="R13" s="7">
        <f>$B13 * IFERROR(VLOOKUP("industry|SO2|Non-fatal heart attacks", US_national_yearly!$D:$AM, 26, FALSE) / VLOOKUP("industry|SO2|Non-fatal heart attacks", US_national_yearly!$D:$AM, 10, FALSE), 1)</f>
        <v>8.9246742981498642E-4</v>
      </c>
      <c r="S13" s="7">
        <f>$B13 * IFERROR(VLOOKUP("industry|SO2|Non-fatal heart attacks", US_national_yearly!$D:$AM, 27, FALSE) / VLOOKUP("industry|SO2|Non-fatal heart attacks", US_national_yearly!$D:$AM, 10, FALSE), 1)</f>
        <v>8.9747914390843027E-4</v>
      </c>
      <c r="T13" s="7">
        <f>$B13 * IFERROR(VLOOKUP("industry|SO2|Non-fatal heart attacks", US_national_yearly!$D:$AM, 28, FALSE) / VLOOKUP("industry|SO2|Non-fatal heart attacks", US_national_yearly!$D:$AM, 10, FALSE), 1)</f>
        <v>9.0249085800187413E-4</v>
      </c>
      <c r="U13" s="7">
        <f>$B13 * IFERROR(VLOOKUP("industry|SO2|Non-fatal heart attacks", US_national_yearly!$D:$AM, 29, FALSE) / VLOOKUP("industry|SO2|Non-fatal heart attacks", US_national_yearly!$D:$AM, 10, FALSE), 1)</f>
        <v>9.0750257209531798E-4</v>
      </c>
      <c r="V13" s="7">
        <f>$B13 * IFERROR(VLOOKUP("industry|SO2|Non-fatal heart attacks", US_national_yearly!$D:$AM, 30, FALSE) / VLOOKUP("industry|SO2|Non-fatal heart attacks", US_national_yearly!$D:$AM, 10, FALSE), 1)</f>
        <v>9.1251428618876183E-4</v>
      </c>
      <c r="W13" s="7">
        <f>$B13 * IFERROR(VLOOKUP("industry|SO2|Non-fatal heart attacks", US_national_yearly!$D:$AM, 31, FALSE) / VLOOKUP("industry|SO2|Non-fatal heart attacks", US_national_yearly!$D:$AM, 10, FALSE), 1)</f>
        <v>9.1752600028220579E-4</v>
      </c>
      <c r="X13" s="7">
        <f>$B13 * IFERROR(VLOOKUP("industry|SO2|Non-fatal heart attacks", US_national_yearly!$D:$AM, 32, FALSE) / VLOOKUP("industry|SO2|Non-fatal heart attacks", US_national_yearly!$D:$AM, 10, FALSE), 1)</f>
        <v>9.2133225251265138E-4</v>
      </c>
      <c r="Y13" s="7">
        <f>$B13 * IFERROR(VLOOKUP("industry|SO2|Non-fatal heart attacks", US_national_yearly!$D:$AM, 33, FALSE) / VLOOKUP("industry|SO2|Non-fatal heart attacks", US_national_yearly!$D:$AM, 10, FALSE), 1)</f>
        <v>9.2513850474309708E-4</v>
      </c>
      <c r="Z13" s="7">
        <f>$B13 * IFERROR(VLOOKUP("industry|SO2|Non-fatal heart attacks", US_national_yearly!$D:$AM, 34, FALSE) / VLOOKUP("industry|SO2|Non-fatal heart attacks", US_national_yearly!$D:$AM, 10, FALSE), 1)</f>
        <v>9.2894475697354278E-4</v>
      </c>
      <c r="AA13" s="7">
        <f>$B13 * IFERROR(VLOOKUP("industry|SO2|Non-fatal heart attacks", US_national_yearly!$D:$AM, 35, FALSE) / VLOOKUP("industry|SO2|Non-fatal heart attacks", US_national_yearly!$D:$AM, 10, FALSE), 1)</f>
        <v>9.3275100920398859E-4</v>
      </c>
      <c r="AB13" s="7">
        <f>$B13 * IFERROR(VLOOKUP("industry|SO2|Non-fatal heart attacks", US_national_yearly!$D:$AM, 36, FALSE) / VLOOKUP("industry|SO2|Non-fatal heart attacks", US_national_yearly!$D:$AM, 10, FALSE), 1)</f>
        <v>9.3655726143443429E-4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0.41777176442609004</v>
      </c>
      <c r="C14" s="7">
        <f>$B14 * IFERROR(VLOOKUP("industry|SO2|Minor restricted activity days", US_national_yearly!$D:$AM, 11, FALSE) / VLOOKUP("industry|SO2|Minor restricted activity days", US_national_yearly!$D:$AM, 10, FALSE), 1)</f>
        <v>0.4188167741412589</v>
      </c>
      <c r="D14" s="7">
        <f>$B14 * IFERROR(VLOOKUP("industry|SO2|Minor restricted activity days", US_national_yearly!$D:$AM, 12, FALSE) / VLOOKUP("industry|SO2|Minor restricted activity days", US_national_yearly!$D:$AM, 10, FALSE), 1)</f>
        <v>0.41986178385642769</v>
      </c>
      <c r="E14" s="7">
        <f>$B14 * IFERROR(VLOOKUP("industry|SO2|Minor restricted activity days", US_national_yearly!$D:$AM, 13, FALSE) / VLOOKUP("industry|SO2|Minor restricted activity days", US_national_yearly!$D:$AM, 10, FALSE), 1)</f>
        <v>0.42090679357159655</v>
      </c>
      <c r="F14" s="7">
        <f>$B14 * IFERROR(VLOOKUP("industry|SO2|Minor restricted activity days", US_national_yearly!$D:$AM, 14, FALSE) / VLOOKUP("industry|SO2|Minor restricted activity days", US_national_yearly!$D:$AM, 10, FALSE), 1)</f>
        <v>0.42195180328676546</v>
      </c>
      <c r="G14" s="7">
        <f>$B14 * IFERROR(VLOOKUP("industry|SO2|Minor restricted activity days", US_national_yearly!$D:$AM, 15, FALSE) / VLOOKUP("industry|SO2|Minor restricted activity days", US_national_yearly!$D:$AM, 10, FALSE), 1)</f>
        <v>0.42348911215391905</v>
      </c>
      <c r="H14" s="7">
        <f>$B14 * IFERROR(VLOOKUP("industry|SO2|Minor restricted activity days", US_national_yearly!$D:$AM, 16, FALSE) / VLOOKUP("industry|SO2|Minor restricted activity days", US_national_yearly!$D:$AM, 10, FALSE), 1)</f>
        <v>0.42502642102107258</v>
      </c>
      <c r="I14" s="7">
        <f>$B14 * IFERROR(VLOOKUP("industry|SO2|Minor restricted activity days", US_national_yearly!$D:$AM, 17, FALSE) / VLOOKUP("industry|SO2|Minor restricted activity days", US_national_yearly!$D:$AM, 10, FALSE), 1)</f>
        <v>0.42764799764044181</v>
      </c>
      <c r="J14" s="7">
        <f>$B14 * IFERROR(VLOOKUP("industry|SO2|Minor restricted activity days", US_national_yearly!$D:$AM, 18, FALSE) / VLOOKUP("industry|SO2|Minor restricted activity days", US_national_yearly!$D:$AM, 10, FALSE), 1)</f>
        <v>0.43026957425981099</v>
      </c>
      <c r="K14" s="7">
        <f>$B14 * IFERROR(VLOOKUP("industry|SO2|Minor restricted activity days", US_national_yearly!$D:$AM, 19, FALSE) / VLOOKUP("industry|SO2|Minor restricted activity days", US_national_yearly!$D:$AM, 10, FALSE), 1)</f>
        <v>0.43289115087918023</v>
      </c>
      <c r="L14" s="7">
        <f>$B14 * IFERROR(VLOOKUP("industry|SO2|Minor restricted activity days", US_national_yearly!$D:$AM, 20, FALSE) / VLOOKUP("industry|SO2|Minor restricted activity days", US_national_yearly!$D:$AM, 10, FALSE), 1)</f>
        <v>0.43551272749854941</v>
      </c>
      <c r="M14" s="7">
        <f>$B14 * IFERROR(VLOOKUP("industry|SO2|Minor restricted activity days", US_national_yearly!$D:$AM, 21, FALSE) / VLOOKUP("industry|SO2|Minor restricted activity days", US_national_yearly!$D:$AM, 10, FALSE), 1)</f>
        <v>0.43813430411791859</v>
      </c>
      <c r="N14" s="7">
        <f>$B14 * IFERROR(VLOOKUP("industry|SO2|Minor restricted activity days", US_national_yearly!$D:$AM, 22, FALSE) / VLOOKUP("industry|SO2|Minor restricted activity days", US_national_yearly!$D:$AM, 10, FALSE), 1)</f>
        <v>0.44172880095280143</v>
      </c>
      <c r="O14" s="7">
        <f>$B14 * IFERROR(VLOOKUP("industry|SO2|Minor restricted activity days", US_national_yearly!$D:$AM, 23, FALSE) / VLOOKUP("industry|SO2|Minor restricted activity days", US_national_yearly!$D:$AM, 10, FALSE), 1)</f>
        <v>0.4453232977876842</v>
      </c>
      <c r="P14" s="7">
        <f>$B14 * IFERROR(VLOOKUP("industry|SO2|Minor restricted activity days", US_national_yearly!$D:$AM, 24, FALSE) / VLOOKUP("industry|SO2|Minor restricted activity days", US_national_yearly!$D:$AM, 10, FALSE), 1)</f>
        <v>0.44891779462256698</v>
      </c>
      <c r="Q14" s="7">
        <f>$B14 * IFERROR(VLOOKUP("industry|SO2|Minor restricted activity days", US_national_yearly!$D:$AM, 25, FALSE) / VLOOKUP("industry|SO2|Minor restricted activity days", US_national_yearly!$D:$AM, 10, FALSE), 1)</f>
        <v>0.45251229145744987</v>
      </c>
      <c r="R14" s="7">
        <f>$B14 * IFERROR(VLOOKUP("industry|SO2|Minor restricted activity days", US_national_yearly!$D:$AM, 26, FALSE) / VLOOKUP("industry|SO2|Minor restricted activity days", US_national_yearly!$D:$AM, 10, FALSE), 1)</f>
        <v>0.45610678829233264</v>
      </c>
      <c r="S14" s="7">
        <f>$B14 * IFERROR(VLOOKUP("industry|SO2|Minor restricted activity days", US_national_yearly!$D:$AM, 27, FALSE) / VLOOKUP("industry|SO2|Minor restricted activity days", US_national_yearly!$D:$AM, 10, FALSE), 1)</f>
        <v>0.45977526261102664</v>
      </c>
      <c r="T14" s="7">
        <f>$B14 * IFERROR(VLOOKUP("industry|SO2|Minor restricted activity days", US_national_yearly!$D:$AM, 28, FALSE) / VLOOKUP("industry|SO2|Minor restricted activity days", US_national_yearly!$D:$AM, 10, FALSE), 1)</f>
        <v>0.46344373692972068</v>
      </c>
      <c r="U14" s="7">
        <f>$B14 * IFERROR(VLOOKUP("industry|SO2|Minor restricted activity days", US_national_yearly!$D:$AM, 29, FALSE) / VLOOKUP("industry|SO2|Minor restricted activity days", US_national_yearly!$D:$AM, 10, FALSE), 1)</f>
        <v>0.46711221124841462</v>
      </c>
      <c r="V14" s="7">
        <f>$B14 * IFERROR(VLOOKUP("industry|SO2|Minor restricted activity days", US_national_yearly!$D:$AM, 30, FALSE) / VLOOKUP("industry|SO2|Minor restricted activity days", US_national_yearly!$D:$AM, 10, FALSE), 1)</f>
        <v>0.47078068556710867</v>
      </c>
      <c r="W14" s="7">
        <f>$B14 * IFERROR(VLOOKUP("industry|SO2|Minor restricted activity days", US_national_yearly!$D:$AM, 31, FALSE) / VLOOKUP("industry|SO2|Minor restricted activity days", US_national_yearly!$D:$AM, 10, FALSE), 1)</f>
        <v>0.47444915988580266</v>
      </c>
      <c r="X14" s="7">
        <f>$B14 * IFERROR(VLOOKUP("industry|SO2|Minor restricted activity days", US_national_yearly!$D:$AM, 32, FALSE) / VLOOKUP("industry|SO2|Minor restricted activity days", US_national_yearly!$D:$AM, 10, FALSE), 1)</f>
        <v>0.47767482040052917</v>
      </c>
      <c r="Y14" s="7">
        <f>$B14 * IFERROR(VLOOKUP("industry|SO2|Minor restricted activity days", US_national_yearly!$D:$AM, 33, FALSE) / VLOOKUP("industry|SO2|Minor restricted activity days", US_national_yearly!$D:$AM, 10, FALSE), 1)</f>
        <v>0.48090048091525556</v>
      </c>
      <c r="Z14" s="7">
        <f>$B14 * IFERROR(VLOOKUP("industry|SO2|Minor restricted activity days", US_national_yearly!$D:$AM, 34, FALSE) / VLOOKUP("industry|SO2|Minor restricted activity days", US_national_yearly!$D:$AM, 10, FALSE), 1)</f>
        <v>0.48412614142998195</v>
      </c>
      <c r="AA14" s="7">
        <f>$B14 * IFERROR(VLOOKUP("industry|SO2|Minor restricted activity days", US_national_yearly!$D:$AM, 35, FALSE) / VLOOKUP("industry|SO2|Minor restricted activity days", US_national_yearly!$D:$AM, 10, FALSE), 1)</f>
        <v>0.48735180194470834</v>
      </c>
      <c r="AB14" s="7">
        <f>$B14 * IFERROR(VLOOKUP("industry|SO2|Minor restricted activity days", US_national_yearly!$D:$AM, 36, FALSE) / VLOOKUP("industry|SO2|Minor restricted activity days", US_national_yearly!$D:$AM, 10, FALSE), 1)</f>
        <v>0.49057746245943479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7.0801559464896913E-2</v>
      </c>
      <c r="C15" s="7">
        <f>$B15 * IFERROR(VLOOKUP("industry|SO2|Work loss days", US_national_yearly!$D:$AM, 11, FALSE) / VLOOKUP("industry|SO2|Work loss days", US_national_yearly!$D:$AM, 10, FALSE), 1)</f>
        <v>7.1029249281197401E-2</v>
      </c>
      <c r="D15" s="7">
        <f>$B15 * IFERROR(VLOOKUP("industry|SO2|Work loss days", US_national_yearly!$D:$AM, 12, FALSE) / VLOOKUP("industry|SO2|Work loss days", US_national_yearly!$D:$AM, 10, FALSE), 1)</f>
        <v>7.1256939097497918E-2</v>
      </c>
      <c r="E15" s="7">
        <f>$B15 * IFERROR(VLOOKUP("industry|SO2|Work loss days", US_national_yearly!$D:$AM, 13, FALSE) / VLOOKUP("industry|SO2|Work loss days", US_national_yearly!$D:$AM, 10, FALSE), 1)</f>
        <v>7.1484628913798393E-2</v>
      </c>
      <c r="F15" s="7">
        <f>$B15 * IFERROR(VLOOKUP("industry|SO2|Work loss days", US_national_yearly!$D:$AM, 14, FALSE) / VLOOKUP("industry|SO2|Work loss days", US_national_yearly!$D:$AM, 10, FALSE), 1)</f>
        <v>7.1712318730098909E-2</v>
      </c>
      <c r="G15" s="7">
        <f>$B15 * IFERROR(VLOOKUP("industry|SO2|Work loss days", US_national_yearly!$D:$AM, 15, FALSE) / VLOOKUP("industry|SO2|Work loss days", US_national_yearly!$D:$AM, 10, FALSE), 1)</f>
        <v>7.2009515470859181E-2</v>
      </c>
      <c r="H15" s="7">
        <f>$B15 * IFERROR(VLOOKUP("industry|SO2|Work loss days", US_national_yearly!$D:$AM, 16, FALSE) / VLOOKUP("industry|SO2|Work loss days", US_national_yearly!$D:$AM, 10, FALSE), 1)</f>
        <v>7.2306712211619481E-2</v>
      </c>
      <c r="I15" s="7">
        <f>$B15 * IFERROR(VLOOKUP("industry|SO2|Work loss days", US_national_yearly!$D:$AM, 17, FALSE) / VLOOKUP("industry|SO2|Work loss days", US_national_yearly!$D:$AM, 10, FALSE), 1)</f>
        <v>7.2741130100769116E-2</v>
      </c>
      <c r="J15" s="7">
        <f>$B15 * IFERROR(VLOOKUP("industry|SO2|Work loss days", US_national_yearly!$D:$AM, 18, FALSE) / VLOOKUP("industry|SO2|Work loss days", US_national_yearly!$D:$AM, 10, FALSE), 1)</f>
        <v>7.3175547989918738E-2</v>
      </c>
      <c r="K15" s="7">
        <f>$B15 * IFERROR(VLOOKUP("industry|SO2|Work loss days", US_national_yearly!$D:$AM, 19, FALSE) / VLOOKUP("industry|SO2|Work loss days", US_national_yearly!$D:$AM, 10, FALSE), 1)</f>
        <v>7.3609965879068359E-2</v>
      </c>
      <c r="L15" s="7">
        <f>$B15 * IFERROR(VLOOKUP("industry|SO2|Work loss days", US_national_yearly!$D:$AM, 20, FALSE) / VLOOKUP("industry|SO2|Work loss days", US_national_yearly!$D:$AM, 10, FALSE), 1)</f>
        <v>7.4044383768217995E-2</v>
      </c>
      <c r="M15" s="7">
        <f>$B15 * IFERROR(VLOOKUP("industry|SO2|Work loss days", US_national_yearly!$D:$AM, 21, FALSE) / VLOOKUP("industry|SO2|Work loss days", US_national_yearly!$D:$AM, 10, FALSE), 1)</f>
        <v>7.447880165736763E-2</v>
      </c>
      <c r="N15" s="7">
        <f>$B15 * IFERROR(VLOOKUP("industry|SO2|Work loss days", US_national_yearly!$D:$AM, 22, FALSE) / VLOOKUP("industry|SO2|Work loss days", US_national_yearly!$D:$AM, 10, FALSE), 1)</f>
        <v>7.5024800989316978E-2</v>
      </c>
      <c r="O15" s="7">
        <f>$B15 * IFERROR(VLOOKUP("industry|SO2|Work loss days", US_national_yearly!$D:$AM, 23, FALSE) / VLOOKUP("industry|SO2|Work loss days", US_national_yearly!$D:$AM, 10, FALSE), 1)</f>
        <v>7.557080032126634E-2</v>
      </c>
      <c r="P15" s="7">
        <f>$B15 * IFERROR(VLOOKUP("industry|SO2|Work loss days", US_national_yearly!$D:$AM, 24, FALSE) / VLOOKUP("industry|SO2|Work loss days", US_national_yearly!$D:$AM, 10, FALSE), 1)</f>
        <v>7.6116799653215703E-2</v>
      </c>
      <c r="Q15" s="7">
        <f>$B15 * IFERROR(VLOOKUP("industry|SO2|Work loss days", US_national_yearly!$D:$AM, 25, FALSE) / VLOOKUP("industry|SO2|Work loss days", US_national_yearly!$D:$AM, 10, FALSE), 1)</f>
        <v>7.6662798985165051E-2</v>
      </c>
      <c r="R15" s="7">
        <f>$B15 * IFERROR(VLOOKUP("industry|SO2|Work loss days", US_national_yearly!$D:$AM, 26, FALSE) / VLOOKUP("industry|SO2|Work loss days", US_national_yearly!$D:$AM, 10, FALSE), 1)</f>
        <v>7.7208798317114413E-2</v>
      </c>
      <c r="S15" s="7">
        <f>$B15 * IFERROR(VLOOKUP("industry|SO2|Work loss days", US_national_yearly!$D:$AM, 27, FALSE) / VLOOKUP("industry|SO2|Work loss days", US_national_yearly!$D:$AM, 10, FALSE), 1)</f>
        <v>7.7819749067503011E-2</v>
      </c>
      <c r="T15" s="7">
        <f>$B15 * IFERROR(VLOOKUP("industry|SO2|Work loss days", US_national_yearly!$D:$AM, 28, FALSE) / VLOOKUP("industry|SO2|Work loss days", US_national_yearly!$D:$AM, 10, FALSE), 1)</f>
        <v>7.8430699817891622E-2</v>
      </c>
      <c r="U15" s="7">
        <f>$B15 * IFERROR(VLOOKUP("industry|SO2|Work loss days", US_national_yearly!$D:$AM, 29, FALSE) / VLOOKUP("industry|SO2|Work loss days", US_national_yearly!$D:$AM, 10, FALSE), 1)</f>
        <v>7.9041650568280247E-2</v>
      </c>
      <c r="V15" s="7">
        <f>$B15 * IFERROR(VLOOKUP("industry|SO2|Work loss days", US_national_yearly!$D:$AM, 30, FALSE) / VLOOKUP("industry|SO2|Work loss days", US_national_yearly!$D:$AM, 10, FALSE), 1)</f>
        <v>7.9652601318668845E-2</v>
      </c>
      <c r="W15" s="7">
        <f>$B15 * IFERROR(VLOOKUP("industry|SO2|Work loss days", US_national_yearly!$D:$AM, 31, FALSE) / VLOOKUP("industry|SO2|Work loss days", US_national_yearly!$D:$AM, 10, FALSE), 1)</f>
        <v>8.0263552069057456E-2</v>
      </c>
      <c r="X15" s="7">
        <f>$B15 * IFERROR(VLOOKUP("industry|SO2|Work loss days", US_national_yearly!$D:$AM, 32, FALSE) / VLOOKUP("industry|SO2|Work loss days", US_national_yearly!$D:$AM, 10, FALSE), 1)</f>
        <v>8.0812291472414644E-2</v>
      </c>
      <c r="Y15" s="7">
        <f>$B15 * IFERROR(VLOOKUP("industry|SO2|Work loss days", US_national_yearly!$D:$AM, 33, FALSE) / VLOOKUP("industry|SO2|Work loss days", US_national_yearly!$D:$AM, 10, FALSE), 1)</f>
        <v>8.1361030875771831E-2</v>
      </c>
      <c r="Z15" s="7">
        <f>$B15 * IFERROR(VLOOKUP("industry|SO2|Work loss days", US_national_yearly!$D:$AM, 34, FALSE) / VLOOKUP("industry|SO2|Work loss days", US_national_yearly!$D:$AM, 10, FALSE), 1)</f>
        <v>8.1909770279129004E-2</v>
      </c>
      <c r="AA15" s="7">
        <f>$B15 * IFERROR(VLOOKUP("industry|SO2|Work loss days", US_national_yearly!$D:$AM, 35, FALSE) / VLOOKUP("industry|SO2|Work loss days", US_national_yearly!$D:$AM, 10, FALSE), 1)</f>
        <v>8.2458509682486192E-2</v>
      </c>
      <c r="AB15" s="7">
        <f>$B15 * IFERROR(VLOOKUP("industry|SO2|Work loss days", US_national_yearly!$D:$AM, 36, FALSE) / VLOOKUP("industry|SO2|Work loss days", US_national_yearly!$D:$AM, 10, FALSE), 1)</f>
        <v>8.3007249085843379E-2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1.6508998756545901E-4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1.700818459622243E-4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1.7507370435898965E-4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1.8006556275575498E-4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1.8505742115252033E-4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1.8984142201449862E-4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1.9462542287647692E-4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1.9873026313515802E-4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2.0283510339383915E-4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2.0693994365252028E-4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2.1104478391120141E-4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2.1514962416988251E-4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2.1790747836587403E-4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2.2066533256186554E-4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2.23423186757857E-4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2.2618104095384852E-4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2.2893889514984003E-4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2.3039714153106139E-4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2.318553879122828E-4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2.3331363429350416E-4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2.3477188067472557E-4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2.3623012705594693E-4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2.3721628824518475E-4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2.3820244943442251E-4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2.3918861062366035E-4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2.4017477181289816E-4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2.4116093300213592E-4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1.9793098298844522E-4</v>
      </c>
      <c r="C2" s="7">
        <f>$B2 * IFERROR(VLOOKUP("LULUCF|PM25|Premature mortality", US_national_yearly!$D:$AM, 11, FALSE) / VLOOKUP("LULUCF|PM25|Premature mortality", US_national_yearly!$D:$AM, 10, FALSE), 1)</f>
        <v>2.0038489341449726E-4</v>
      </c>
      <c r="D2" s="7">
        <f>$B2 * IFERROR(VLOOKUP("LULUCF|PM25|Premature mortality", US_national_yearly!$D:$AM, 12, FALSE) / VLOOKUP("LULUCF|PM25|Premature mortality", US_national_yearly!$D:$AM, 10, FALSE), 1)</f>
        <v>2.0283880384054924E-4</v>
      </c>
      <c r="E2" s="7">
        <f>$B2 * IFERROR(VLOOKUP("LULUCF|PM25|Premature mortality", US_national_yearly!$D:$AM, 13, FALSE) / VLOOKUP("LULUCF|PM25|Premature mortality", US_national_yearly!$D:$AM, 10, FALSE), 1)</f>
        <v>2.0529271426660123E-4</v>
      </c>
      <c r="F2" s="7">
        <f>$B2 * IFERROR(VLOOKUP("LULUCF|PM25|Premature mortality", US_national_yearly!$D:$AM, 14, FALSE) / VLOOKUP("LULUCF|PM25|Premature mortality", US_national_yearly!$D:$AM, 10, FALSE), 1)</f>
        <v>2.0774662469265321E-4</v>
      </c>
      <c r="G2" s="7">
        <f>$B2 * IFERROR(VLOOKUP("LULUCF|PM25|Premature mortality", US_national_yearly!$D:$AM, 15, FALSE) / VLOOKUP("LULUCF|PM25|Premature mortality", US_national_yearly!$D:$AM, 10, FALSE), 1)</f>
        <v>2.1252559674043512E-4</v>
      </c>
      <c r="H2" s="7">
        <f>$B2 * IFERROR(VLOOKUP("LULUCF|PM25|Premature mortality", US_national_yearly!$D:$AM, 16, FALSE) / VLOOKUP("LULUCF|PM25|Premature mortality", US_national_yearly!$D:$AM, 10, FALSE), 1)</f>
        <v>2.1730456878821705E-4</v>
      </c>
      <c r="I2" s="7">
        <f>$B2 * IFERROR(VLOOKUP("LULUCF|PM25|Premature mortality", US_national_yearly!$D:$AM, 17, FALSE) / VLOOKUP("LULUCF|PM25|Premature mortality", US_national_yearly!$D:$AM, 10, FALSE), 1)</f>
        <v>2.2044359880067578E-4</v>
      </c>
      <c r="J2" s="7">
        <f>$B2 * IFERROR(VLOOKUP("LULUCF|PM25|Premature mortality", US_national_yearly!$D:$AM, 18, FALSE) / VLOOKUP("LULUCF|PM25|Premature mortality", US_national_yearly!$D:$AM, 10, FALSE), 1)</f>
        <v>2.2358262881313462E-4</v>
      </c>
      <c r="K2" s="7">
        <f>$B2 * IFERROR(VLOOKUP("LULUCF|PM25|Premature mortality", US_national_yearly!$D:$AM, 19, FALSE) / VLOOKUP("LULUCF|PM25|Premature mortality", US_national_yearly!$D:$AM, 10, FALSE), 1)</f>
        <v>2.267216588255934E-4</v>
      </c>
      <c r="L2" s="7">
        <f>$B2 * IFERROR(VLOOKUP("LULUCF|PM25|Premature mortality", US_national_yearly!$D:$AM, 20, FALSE) / VLOOKUP("LULUCF|PM25|Premature mortality", US_national_yearly!$D:$AM, 10, FALSE), 1)</f>
        <v>2.2986068883805222E-4</v>
      </c>
      <c r="M2" s="7">
        <f>$B2 * IFERROR(VLOOKUP("LULUCF|PM25|Premature mortality", US_national_yearly!$D:$AM, 21, FALSE) / VLOOKUP("LULUCF|PM25|Premature mortality", US_national_yearly!$D:$AM, 10, FALSE), 1)</f>
        <v>2.32999718850511E-4</v>
      </c>
      <c r="N2" s="7">
        <f>$B2 * IFERROR(VLOOKUP("LULUCF|PM25|Premature mortality", US_national_yearly!$D:$AM, 22, FALSE) / VLOOKUP("LULUCF|PM25|Premature mortality", US_national_yearly!$D:$AM, 10, FALSE), 1)</f>
        <v>2.3543697587463544E-4</v>
      </c>
      <c r="O2" s="7">
        <f>$B2 * IFERROR(VLOOKUP("LULUCF|PM25|Premature mortality", US_national_yearly!$D:$AM, 23, FALSE) / VLOOKUP("LULUCF|PM25|Premature mortality", US_national_yearly!$D:$AM, 10, FALSE), 1)</f>
        <v>2.3787423289875985E-4</v>
      </c>
      <c r="P2" s="7">
        <f>$B2 * IFERROR(VLOOKUP("LULUCF|PM25|Premature mortality", US_national_yearly!$D:$AM, 24, FALSE) / VLOOKUP("LULUCF|PM25|Premature mortality", US_national_yearly!$D:$AM, 10, FALSE), 1)</f>
        <v>2.4031148992288429E-4</v>
      </c>
      <c r="Q2" s="7">
        <f>$B2 * IFERROR(VLOOKUP("LULUCF|PM25|Premature mortality", US_national_yearly!$D:$AM, 25, FALSE) / VLOOKUP("LULUCF|PM25|Premature mortality", US_national_yearly!$D:$AM, 10, FALSE), 1)</f>
        <v>2.4274874694700871E-4</v>
      </c>
      <c r="R2" s="7">
        <f>$B2 * IFERROR(VLOOKUP("LULUCF|PM25|Premature mortality", US_national_yearly!$D:$AM, 26, FALSE) / VLOOKUP("LULUCF|PM25|Premature mortality", US_national_yearly!$D:$AM, 10, FALSE), 1)</f>
        <v>2.451860039711332E-4</v>
      </c>
      <c r="S2" s="7">
        <f>$B2 * IFERROR(VLOOKUP("LULUCF|PM25|Premature mortality", US_national_yearly!$D:$AM, 27, FALSE) / VLOOKUP("LULUCF|PM25|Premature mortality", US_national_yearly!$D:$AM, 10, FALSE), 1)</f>
        <v>2.4647719032919456E-4</v>
      </c>
      <c r="T2" s="7">
        <f>$B2 * IFERROR(VLOOKUP("LULUCF|PM25|Premature mortality", US_national_yearly!$D:$AM, 28, FALSE) / VLOOKUP("LULUCF|PM25|Premature mortality", US_national_yearly!$D:$AM, 10, FALSE), 1)</f>
        <v>2.4776837668725587E-4</v>
      </c>
      <c r="U2" s="7">
        <f>$B2 * IFERROR(VLOOKUP("LULUCF|PM25|Premature mortality", US_national_yearly!$D:$AM, 29, FALSE) / VLOOKUP("LULUCF|PM25|Premature mortality", US_national_yearly!$D:$AM, 10, FALSE), 1)</f>
        <v>2.4905956304531717E-4</v>
      </c>
      <c r="V2" s="7">
        <f>$B2 * IFERROR(VLOOKUP("LULUCF|PM25|Premature mortality", US_national_yearly!$D:$AM, 30, FALSE) / VLOOKUP("LULUCF|PM25|Premature mortality", US_national_yearly!$D:$AM, 10, FALSE), 1)</f>
        <v>2.5035074940337848E-4</v>
      </c>
      <c r="W2" s="7">
        <f>$B2 * IFERROR(VLOOKUP("LULUCF|PM25|Premature mortality", US_national_yearly!$D:$AM, 31, FALSE) / VLOOKUP("LULUCF|PM25|Premature mortality", US_national_yearly!$D:$AM, 10, FALSE), 1)</f>
        <v>2.5164193576143978E-4</v>
      </c>
      <c r="X2" s="7">
        <f>$B2 * IFERROR(VLOOKUP("LULUCF|PM25|Premature mortality", US_national_yearly!$D:$AM, 32, FALSE) / VLOOKUP("LULUCF|PM25|Premature mortality", US_national_yearly!$D:$AM, 10, FALSE), 1)</f>
        <v>2.5186770968416524E-4</v>
      </c>
      <c r="Y2" s="7">
        <f>$B2 * IFERROR(VLOOKUP("LULUCF|PM25|Premature mortality", US_national_yearly!$D:$AM, 33, FALSE) / VLOOKUP("LULUCF|PM25|Premature mortality", US_national_yearly!$D:$AM, 10, FALSE), 1)</f>
        <v>2.520934836068907E-4</v>
      </c>
      <c r="Z2" s="7">
        <f>$B2 * IFERROR(VLOOKUP("LULUCF|PM25|Premature mortality", US_national_yearly!$D:$AM, 34, FALSE) / VLOOKUP("LULUCF|PM25|Premature mortality", US_national_yearly!$D:$AM, 10, FALSE), 1)</f>
        <v>2.523192575296161E-4</v>
      </c>
      <c r="AA2" s="7">
        <f>$B2 * IFERROR(VLOOKUP("LULUCF|PM25|Premature mortality", US_national_yearly!$D:$AM, 35, FALSE) / VLOOKUP("LULUCF|PM25|Premature mortality", US_national_yearly!$D:$AM, 10, FALSE), 1)</f>
        <v>2.5254503145234156E-4</v>
      </c>
      <c r="AB2" s="7">
        <f>$B2 * IFERROR(VLOOKUP("LULUCF|PM25|Premature mortality", US_national_yearly!$D:$AM, 36, FALSE) / VLOOKUP("LULUCF|PM25|Premature mortality", US_national_yearly!$D:$AM, 10, FALSE), 1)</f>
        <v>2.5277080537506696E-4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4.6831861421919905E-7</v>
      </c>
      <c r="C3" s="7">
        <f>$B3 * IFERROR(VLOOKUP("LULUCF|PM25|Infant mortality", US_national_yearly!$D:$AM, 11, FALSE) / VLOOKUP("LULUCF|PM25|Infant mortality", US_national_yearly!$D:$AM, 10, FALSE), 1)</f>
        <v>4.6423530324698913E-7</v>
      </c>
      <c r="D3" s="7">
        <f>$B3 * IFERROR(VLOOKUP("LULUCF|PM25|Infant mortality", US_national_yearly!$D:$AM, 12, FALSE) / VLOOKUP("LULUCF|PM25|Infant mortality", US_national_yearly!$D:$AM, 10, FALSE), 1)</f>
        <v>4.6015199227477916E-7</v>
      </c>
      <c r="E3" s="7">
        <f>$B3 * IFERROR(VLOOKUP("LULUCF|PM25|Infant mortality", US_national_yearly!$D:$AM, 13, FALSE) / VLOOKUP("LULUCF|PM25|Infant mortality", US_national_yearly!$D:$AM, 10, FALSE), 1)</f>
        <v>4.5606868130256929E-7</v>
      </c>
      <c r="F3" s="7">
        <f>$B3 * IFERROR(VLOOKUP("LULUCF|PM25|Infant mortality", US_national_yearly!$D:$AM, 14, FALSE) / VLOOKUP("LULUCF|PM25|Infant mortality", US_national_yearly!$D:$AM, 10, FALSE), 1)</f>
        <v>4.5198537033035926E-7</v>
      </c>
      <c r="G3" s="7">
        <f>$B3 * IFERROR(VLOOKUP("LULUCF|PM25|Infant mortality", US_national_yearly!$D:$AM, 15, FALSE) / VLOOKUP("LULUCF|PM25|Infant mortality", US_national_yearly!$D:$AM, 10, FALSE), 1)</f>
        <v>3.0059444885126923E-7</v>
      </c>
      <c r="H3" s="7">
        <f>$B3 * IFERROR(VLOOKUP("LULUCF|PM25|Infant mortality", US_national_yearly!$D:$AM, 16, FALSE) / VLOOKUP("LULUCF|PM25|Infant mortality", US_national_yearly!$D:$AM, 10, FALSE), 1)</f>
        <v>1.4920352737217905E-7</v>
      </c>
      <c r="I3" s="7">
        <f>$B3 * IFERROR(VLOOKUP("LULUCF|PM25|Infant mortality", US_national_yearly!$D:$AM, 17, FALSE) / VLOOKUP("LULUCF|PM25|Infant mortality", US_national_yearly!$D:$AM, 10, FALSE), 1)</f>
        <v>1.4822823585855418E-7</v>
      </c>
      <c r="J3" s="7">
        <f>$B3 * IFERROR(VLOOKUP("LULUCF|PM25|Infant mortality", US_national_yearly!$D:$AM, 18, FALSE) / VLOOKUP("LULUCF|PM25|Infant mortality", US_national_yearly!$D:$AM, 10, FALSE), 1)</f>
        <v>1.4725294434492927E-7</v>
      </c>
      <c r="K3" s="7">
        <f>$B3 * IFERROR(VLOOKUP("LULUCF|PM25|Infant mortality", US_national_yearly!$D:$AM, 19, FALSE) / VLOOKUP("LULUCF|PM25|Infant mortality", US_national_yearly!$D:$AM, 10, FALSE), 1)</f>
        <v>1.4627765283130436E-7</v>
      </c>
      <c r="L3" s="7">
        <f>$B3 * IFERROR(VLOOKUP("LULUCF|PM25|Infant mortality", US_national_yearly!$D:$AM, 20, FALSE) / VLOOKUP("LULUCF|PM25|Infant mortality", US_national_yearly!$D:$AM, 10, FALSE), 1)</f>
        <v>1.4530236131767947E-7</v>
      </c>
      <c r="M3" s="7">
        <f>$B3 * IFERROR(VLOOKUP("LULUCF|PM25|Infant mortality", US_national_yearly!$D:$AM, 21, FALSE) / VLOOKUP("LULUCF|PM25|Infant mortality", US_national_yearly!$D:$AM, 10, FALSE), 1)</f>
        <v>1.4432706980405458E-7</v>
      </c>
      <c r="N3" s="7">
        <f>$B3 * IFERROR(VLOOKUP("LULUCF|PM25|Infant mortality", US_national_yearly!$D:$AM, 22, FALSE) / VLOOKUP("LULUCF|PM25|Infant mortality", US_national_yearly!$D:$AM, 10, FALSE), 1)</f>
        <v>1.4371447875818223E-7</v>
      </c>
      <c r="O3" s="7">
        <f>$B3 * IFERROR(VLOOKUP("LULUCF|PM25|Infant mortality", US_national_yearly!$D:$AM, 23, FALSE) / VLOOKUP("LULUCF|PM25|Infant mortality", US_national_yearly!$D:$AM, 10, FALSE), 1)</f>
        <v>1.4310188771230989E-7</v>
      </c>
      <c r="P3" s="7">
        <f>$B3 * IFERROR(VLOOKUP("LULUCF|PM25|Infant mortality", US_national_yearly!$D:$AM, 24, FALSE) / VLOOKUP("LULUCF|PM25|Infant mortality", US_national_yearly!$D:$AM, 10, FALSE), 1)</f>
        <v>1.4248929666643752E-7</v>
      </c>
      <c r="Q3" s="7">
        <f>$B3 * IFERROR(VLOOKUP("LULUCF|PM25|Infant mortality", US_national_yearly!$D:$AM, 25, FALSE) / VLOOKUP("LULUCF|PM25|Infant mortality", US_national_yearly!$D:$AM, 10, FALSE), 1)</f>
        <v>1.418767056205652E-7</v>
      </c>
      <c r="R3" s="7">
        <f>$B3 * IFERROR(VLOOKUP("LULUCF|PM25|Infant mortality", US_national_yearly!$D:$AM, 26, FALSE) / VLOOKUP("LULUCF|PM25|Infant mortality", US_national_yearly!$D:$AM, 10, FALSE), 1)</f>
        <v>1.4126411457469285E-7</v>
      </c>
      <c r="S3" s="7">
        <f>$B3 * IFERROR(VLOOKUP("LULUCF|PM25|Infant mortality", US_national_yearly!$D:$AM, 27, FALSE) / VLOOKUP("LULUCF|PM25|Infant mortality", US_national_yearly!$D:$AM, 10, FALSE), 1)</f>
        <v>1.4050050731060972E-7</v>
      </c>
      <c r="T3" s="7">
        <f>$B3 * IFERROR(VLOOKUP("LULUCF|PM25|Infant mortality", US_national_yearly!$D:$AM, 28, FALSE) / VLOOKUP("LULUCF|PM25|Infant mortality", US_national_yearly!$D:$AM, 10, FALSE), 1)</f>
        <v>1.3973690004652658E-7</v>
      </c>
      <c r="U3" s="7">
        <f>$B3 * IFERROR(VLOOKUP("LULUCF|PM25|Infant mortality", US_national_yearly!$D:$AM, 29, FALSE) / VLOOKUP("LULUCF|PM25|Infant mortality", US_national_yearly!$D:$AM, 10, FALSE), 1)</f>
        <v>1.3897329278244347E-7</v>
      </c>
      <c r="V3" s="7">
        <f>$B3 * IFERROR(VLOOKUP("LULUCF|PM25|Infant mortality", US_national_yearly!$D:$AM, 30, FALSE) / VLOOKUP("LULUCF|PM25|Infant mortality", US_national_yearly!$D:$AM, 10, FALSE), 1)</f>
        <v>1.3820968551836035E-7</v>
      </c>
      <c r="W3" s="7">
        <f>$B3 * IFERROR(VLOOKUP("LULUCF|PM25|Infant mortality", US_national_yearly!$D:$AM, 31, FALSE) / VLOOKUP("LULUCF|PM25|Infant mortality", US_national_yearly!$D:$AM, 10, FALSE), 1)</f>
        <v>1.3744607825427719E-7</v>
      </c>
      <c r="X3" s="7">
        <f>$B3 * IFERROR(VLOOKUP("LULUCF|PM25|Infant mortality", US_national_yearly!$D:$AM, 32, FALSE) / VLOOKUP("LULUCF|PM25|Infant mortality", US_national_yearly!$D:$AM, 10, FALSE), 1)</f>
        <v>1.3662281364823146E-7</v>
      </c>
      <c r="Y3" s="7">
        <f>$B3 * IFERROR(VLOOKUP("LULUCF|PM25|Infant mortality", US_national_yearly!$D:$AM, 33, FALSE) / VLOOKUP("LULUCF|PM25|Infant mortality", US_national_yearly!$D:$AM, 10, FALSE), 1)</f>
        <v>1.357995490421857E-7</v>
      </c>
      <c r="Z3" s="7">
        <f>$B3 * IFERROR(VLOOKUP("LULUCF|PM25|Infant mortality", US_national_yearly!$D:$AM, 34, FALSE) / VLOOKUP("LULUCF|PM25|Infant mortality", US_national_yearly!$D:$AM, 10, FALSE), 1)</f>
        <v>1.3497628443613997E-7</v>
      </c>
      <c r="AA3" s="7">
        <f>$B3 * IFERROR(VLOOKUP("LULUCF|PM25|Infant mortality", US_national_yearly!$D:$AM, 35, FALSE) / VLOOKUP("LULUCF|PM25|Infant mortality", US_national_yearly!$D:$AM, 10, FALSE), 1)</f>
        <v>1.3415301983009421E-7</v>
      </c>
      <c r="AB3" s="7">
        <f>$B3 * IFERROR(VLOOKUP("LULUCF|PM25|Infant mortality", US_national_yearly!$D:$AM, 36, FALSE) / VLOOKUP("LULUCF|PM25|Infant mortality", US_national_yearly!$D:$AM, 10, FALSE), 1)</f>
        <v>1.333297552240485E-7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4.4543618051019447E-4</v>
      </c>
      <c r="C6" s="7">
        <f>$B6 * IFERROR(VLOOKUP("LULUCF|PM25|Asthma symptoms cough", US_national_yearly!$D:$AM, 11, FALSE) / VLOOKUP("LULUCF|PM25|Asthma symptoms cough", US_national_yearly!$D:$AM, 10, FALSE), 1)</f>
        <v>4.4543618051019447E-4</v>
      </c>
      <c r="D6" s="7">
        <f>$B6 * IFERROR(VLOOKUP("LULUCF|PM25|Asthma symptoms cough", US_national_yearly!$D:$AM, 12, FALSE) / VLOOKUP("LULUCF|PM25|Asthma symptoms cough", US_national_yearly!$D:$AM, 10, FALSE), 1)</f>
        <v>4.4543618051019447E-4</v>
      </c>
      <c r="E6" s="7">
        <f>$B6 * IFERROR(VLOOKUP("LULUCF|PM25|Asthma symptoms cough", US_national_yearly!$D:$AM, 13, FALSE) / VLOOKUP("LULUCF|PM25|Asthma symptoms cough", US_national_yearly!$D:$AM, 10, FALSE), 1)</f>
        <v>4.4543618051019447E-4</v>
      </c>
      <c r="F6" s="7">
        <f>$B6 * IFERROR(VLOOKUP("LULUCF|PM25|Asthma symptoms cough", US_national_yearly!$D:$AM, 14, FALSE) / VLOOKUP("LULUCF|PM25|Asthma symptoms cough", US_national_yearly!$D:$AM, 10, FALSE), 1)</f>
        <v>4.4543618051019447E-4</v>
      </c>
      <c r="G6" s="7">
        <f>$B6 * IFERROR(VLOOKUP("LULUCF|PM25|Asthma symptoms cough", US_national_yearly!$D:$AM, 15, FALSE) / VLOOKUP("LULUCF|PM25|Asthma symptoms cough", US_national_yearly!$D:$AM, 10, FALSE), 1)</f>
        <v>4.4543618051019447E-4</v>
      </c>
      <c r="H6" s="7">
        <f>$B6 * IFERROR(VLOOKUP("LULUCF|PM25|Asthma symptoms cough", US_national_yearly!$D:$AM, 16, FALSE) / VLOOKUP("LULUCF|PM25|Asthma symptoms cough", US_national_yearly!$D:$AM, 10, FALSE), 1)</f>
        <v>4.4543618051019447E-4</v>
      </c>
      <c r="I6" s="7">
        <f>$B6 * IFERROR(VLOOKUP("LULUCF|PM25|Asthma symptoms cough", US_national_yearly!$D:$AM, 17, FALSE) / VLOOKUP("LULUCF|PM25|Asthma symptoms cough", US_national_yearly!$D:$AM, 10, FALSE), 1)</f>
        <v>4.4543618051019447E-4</v>
      </c>
      <c r="J6" s="7">
        <f>$B6 * IFERROR(VLOOKUP("LULUCF|PM25|Asthma symptoms cough", US_national_yearly!$D:$AM, 18, FALSE) / VLOOKUP("LULUCF|PM25|Asthma symptoms cough", US_national_yearly!$D:$AM, 10, FALSE), 1)</f>
        <v>4.4543618051019447E-4</v>
      </c>
      <c r="K6" s="7">
        <f>$B6 * IFERROR(VLOOKUP("LULUCF|PM25|Asthma symptoms cough", US_national_yearly!$D:$AM, 19, FALSE) / VLOOKUP("LULUCF|PM25|Asthma symptoms cough", US_national_yearly!$D:$AM, 10, FALSE), 1)</f>
        <v>4.4543618051019447E-4</v>
      </c>
      <c r="L6" s="7">
        <f>$B6 * IFERROR(VLOOKUP("LULUCF|PM25|Asthma symptoms cough", US_national_yearly!$D:$AM, 20, FALSE) / VLOOKUP("LULUCF|PM25|Asthma symptoms cough", US_national_yearly!$D:$AM, 10, FALSE), 1)</f>
        <v>4.4543618051019447E-4</v>
      </c>
      <c r="M6" s="7">
        <f>$B6 * IFERROR(VLOOKUP("LULUCF|PM25|Asthma symptoms cough", US_national_yearly!$D:$AM, 21, FALSE) / VLOOKUP("LULUCF|PM25|Asthma symptoms cough", US_national_yearly!$D:$AM, 10, FALSE), 1)</f>
        <v>4.4543618051019447E-4</v>
      </c>
      <c r="N6" s="7">
        <f>$B6 * IFERROR(VLOOKUP("LULUCF|PM25|Asthma symptoms cough", US_national_yearly!$D:$AM, 22, FALSE) / VLOOKUP("LULUCF|PM25|Asthma symptoms cough", US_national_yearly!$D:$AM, 10, FALSE), 1)</f>
        <v>4.4543618051019447E-4</v>
      </c>
      <c r="O6" s="7">
        <f>$B6 * IFERROR(VLOOKUP("LULUCF|PM25|Asthma symptoms cough", US_national_yearly!$D:$AM, 23, FALSE) / VLOOKUP("LULUCF|PM25|Asthma symptoms cough", US_national_yearly!$D:$AM, 10, FALSE), 1)</f>
        <v>4.4543618051019447E-4</v>
      </c>
      <c r="P6" s="7">
        <f>$B6 * IFERROR(VLOOKUP("LULUCF|PM25|Asthma symptoms cough", US_national_yearly!$D:$AM, 24, FALSE) / VLOOKUP("LULUCF|PM25|Asthma symptoms cough", US_national_yearly!$D:$AM, 10, FALSE), 1)</f>
        <v>4.4543618051019447E-4</v>
      </c>
      <c r="Q6" s="7">
        <f>$B6 * IFERROR(VLOOKUP("LULUCF|PM25|Asthma symptoms cough", US_national_yearly!$D:$AM, 25, FALSE) / VLOOKUP("LULUCF|PM25|Asthma symptoms cough", US_national_yearly!$D:$AM, 10, FALSE), 1)</f>
        <v>4.4543618051019447E-4</v>
      </c>
      <c r="R6" s="7">
        <f>$B6 * IFERROR(VLOOKUP("LULUCF|PM25|Asthma symptoms cough", US_national_yearly!$D:$AM, 26, FALSE) / VLOOKUP("LULUCF|PM25|Asthma symptoms cough", US_national_yearly!$D:$AM, 10, FALSE), 1)</f>
        <v>4.4543618051019447E-4</v>
      </c>
      <c r="S6" s="7">
        <f>$B6 * IFERROR(VLOOKUP("LULUCF|PM25|Asthma symptoms cough", US_national_yearly!$D:$AM, 27, FALSE) / VLOOKUP("LULUCF|PM25|Asthma symptoms cough", US_national_yearly!$D:$AM, 10, FALSE), 1)</f>
        <v>4.4543618051019447E-4</v>
      </c>
      <c r="T6" s="7">
        <f>$B6 * IFERROR(VLOOKUP("LULUCF|PM25|Asthma symptoms cough", US_national_yearly!$D:$AM, 28, FALSE) / VLOOKUP("LULUCF|PM25|Asthma symptoms cough", US_national_yearly!$D:$AM, 10, FALSE), 1)</f>
        <v>4.4543618051019447E-4</v>
      </c>
      <c r="U6" s="7">
        <f>$B6 * IFERROR(VLOOKUP("LULUCF|PM25|Asthma symptoms cough", US_national_yearly!$D:$AM, 29, FALSE) / VLOOKUP("LULUCF|PM25|Asthma symptoms cough", US_national_yearly!$D:$AM, 10, FALSE), 1)</f>
        <v>4.4543618051019447E-4</v>
      </c>
      <c r="V6" s="7">
        <f>$B6 * IFERROR(VLOOKUP("LULUCF|PM25|Asthma symptoms cough", US_national_yearly!$D:$AM, 30, FALSE) / VLOOKUP("LULUCF|PM25|Asthma symptoms cough", US_national_yearly!$D:$AM, 10, FALSE), 1)</f>
        <v>4.4543618051019447E-4</v>
      </c>
      <c r="W6" s="7">
        <f>$B6 * IFERROR(VLOOKUP("LULUCF|PM25|Asthma symptoms cough", US_national_yearly!$D:$AM, 31, FALSE) / VLOOKUP("LULUCF|PM25|Asthma symptoms cough", US_national_yearly!$D:$AM, 10, FALSE), 1)</f>
        <v>4.4543618051019447E-4</v>
      </c>
      <c r="X6" s="7">
        <f>$B6 * IFERROR(VLOOKUP("LULUCF|PM25|Asthma symptoms cough", US_national_yearly!$D:$AM, 32, FALSE) / VLOOKUP("LULUCF|PM25|Asthma symptoms cough", US_national_yearly!$D:$AM, 10, FALSE), 1)</f>
        <v>4.4543618051019447E-4</v>
      </c>
      <c r="Y6" s="7">
        <f>$B6 * IFERROR(VLOOKUP("LULUCF|PM25|Asthma symptoms cough", US_national_yearly!$D:$AM, 33, FALSE) / VLOOKUP("LULUCF|PM25|Asthma symptoms cough", US_national_yearly!$D:$AM, 10, FALSE), 1)</f>
        <v>4.4543618051019447E-4</v>
      </c>
      <c r="Z6" s="7">
        <f>$B6 * IFERROR(VLOOKUP("LULUCF|PM25|Asthma symptoms cough", US_national_yearly!$D:$AM, 34, FALSE) / VLOOKUP("LULUCF|PM25|Asthma symptoms cough", US_national_yearly!$D:$AM, 10, FALSE), 1)</f>
        <v>4.4543618051019447E-4</v>
      </c>
      <c r="AA6" s="7">
        <f>$B6 * IFERROR(VLOOKUP("LULUCF|PM25|Asthma symptoms cough", US_national_yearly!$D:$AM, 35, FALSE) / VLOOKUP("LULUCF|PM25|Asthma symptoms cough", US_national_yearly!$D:$AM, 10, FALSE), 1)</f>
        <v>4.4543618051019447E-4</v>
      </c>
      <c r="AB6" s="7">
        <f>$B6 * IFERROR(VLOOKUP("LULUCF|PM25|Asthma symptoms cough", US_national_yearly!$D:$AM, 36, FALSE) / VLOOKUP("LULUCF|PM25|Asthma symptoms cough", US_national_yearly!$D:$AM, 10, FALSE), 1)</f>
        <v>4.4543618051019447E-4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5.998432534596584E-4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5.998432534596584E-4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5.998432534596584E-4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5.998432534596584E-4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5.998432534596584E-4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5.998432534596584E-4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5.998432534596584E-4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5.998432534596584E-4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5.998432534596584E-4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5.998432534596584E-4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5.998432534596584E-4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5.998432534596584E-4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5.998432534596584E-4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5.998432534596584E-4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5.998432534596584E-4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5.998432534596584E-4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5.998432534596584E-4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5.998432534596584E-4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5.998432534596584E-4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5.998432534596584E-4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5.998432534596584E-4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5.998432534596584E-4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5.998432534596584E-4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5.998432534596584E-4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5.998432534596584E-4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5.998432534596584E-4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5.998432534596584E-4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9.1646310693587786E-4</v>
      </c>
      <c r="C8" s="7">
        <f>$B8 * IFERROR(VLOOKUP("LULUCF|PM25|Asthma symptoms wheeze", US_national_yearly!$D:$AM, 11, FALSE) / VLOOKUP("LULUCF|PM25|Asthma symptoms wheeze", US_national_yearly!$D:$AM, 10, FALSE), 1)</f>
        <v>9.1646310693587786E-4</v>
      </c>
      <c r="D8" s="7">
        <f>$B8 * IFERROR(VLOOKUP("LULUCF|PM25|Asthma symptoms wheeze", US_national_yearly!$D:$AM, 12, FALSE) / VLOOKUP("LULUCF|PM25|Asthma symptoms wheeze", US_national_yearly!$D:$AM, 10, FALSE), 1)</f>
        <v>9.1646310693587786E-4</v>
      </c>
      <c r="E8" s="7">
        <f>$B8 * IFERROR(VLOOKUP("LULUCF|PM25|Asthma symptoms wheeze", US_national_yearly!$D:$AM, 13, FALSE) / VLOOKUP("LULUCF|PM25|Asthma symptoms wheeze", US_national_yearly!$D:$AM, 10, FALSE), 1)</f>
        <v>9.1646310693587786E-4</v>
      </c>
      <c r="F8" s="7">
        <f>$B8 * IFERROR(VLOOKUP("LULUCF|PM25|Asthma symptoms wheeze", US_national_yearly!$D:$AM, 14, FALSE) / VLOOKUP("LULUCF|PM25|Asthma symptoms wheeze", US_national_yearly!$D:$AM, 10, FALSE), 1)</f>
        <v>9.1646310693587786E-4</v>
      </c>
      <c r="G8" s="7">
        <f>$B8 * IFERROR(VLOOKUP("LULUCF|PM25|Asthma symptoms wheeze", US_national_yearly!$D:$AM, 15, FALSE) / VLOOKUP("LULUCF|PM25|Asthma symptoms wheeze", US_national_yearly!$D:$AM, 10, FALSE), 1)</f>
        <v>9.1646310693587786E-4</v>
      </c>
      <c r="H8" s="7">
        <f>$B8 * IFERROR(VLOOKUP("LULUCF|PM25|Asthma symptoms wheeze", US_national_yearly!$D:$AM, 16, FALSE) / VLOOKUP("LULUCF|PM25|Asthma symptoms wheeze", US_national_yearly!$D:$AM, 10, FALSE), 1)</f>
        <v>9.1646310693587786E-4</v>
      </c>
      <c r="I8" s="7">
        <f>$B8 * IFERROR(VLOOKUP("LULUCF|PM25|Asthma symptoms wheeze", US_national_yearly!$D:$AM, 17, FALSE) / VLOOKUP("LULUCF|PM25|Asthma symptoms wheeze", US_national_yearly!$D:$AM, 10, FALSE), 1)</f>
        <v>9.1646310693587786E-4</v>
      </c>
      <c r="J8" s="7">
        <f>$B8 * IFERROR(VLOOKUP("LULUCF|PM25|Asthma symptoms wheeze", US_national_yearly!$D:$AM, 18, FALSE) / VLOOKUP("LULUCF|PM25|Asthma symptoms wheeze", US_national_yearly!$D:$AM, 10, FALSE), 1)</f>
        <v>9.1646310693587786E-4</v>
      </c>
      <c r="K8" s="7">
        <f>$B8 * IFERROR(VLOOKUP("LULUCF|PM25|Asthma symptoms wheeze", US_national_yearly!$D:$AM, 19, FALSE) / VLOOKUP("LULUCF|PM25|Asthma symptoms wheeze", US_national_yearly!$D:$AM, 10, FALSE), 1)</f>
        <v>9.1646310693587786E-4</v>
      </c>
      <c r="L8" s="7">
        <f>$B8 * IFERROR(VLOOKUP("LULUCF|PM25|Asthma symptoms wheeze", US_national_yearly!$D:$AM, 20, FALSE) / VLOOKUP("LULUCF|PM25|Asthma symptoms wheeze", US_national_yearly!$D:$AM, 10, FALSE), 1)</f>
        <v>9.1646310693587786E-4</v>
      </c>
      <c r="M8" s="7">
        <f>$B8 * IFERROR(VLOOKUP("LULUCF|PM25|Asthma symptoms wheeze", US_national_yearly!$D:$AM, 21, FALSE) / VLOOKUP("LULUCF|PM25|Asthma symptoms wheeze", US_national_yearly!$D:$AM, 10, FALSE), 1)</f>
        <v>9.1646310693587786E-4</v>
      </c>
      <c r="N8" s="7">
        <f>$B8 * IFERROR(VLOOKUP("LULUCF|PM25|Asthma symptoms wheeze", US_national_yearly!$D:$AM, 22, FALSE) / VLOOKUP("LULUCF|PM25|Asthma symptoms wheeze", US_national_yearly!$D:$AM, 10, FALSE), 1)</f>
        <v>9.1646310693587786E-4</v>
      </c>
      <c r="O8" s="7">
        <f>$B8 * IFERROR(VLOOKUP("LULUCF|PM25|Asthma symptoms wheeze", US_national_yearly!$D:$AM, 23, FALSE) / VLOOKUP("LULUCF|PM25|Asthma symptoms wheeze", US_national_yearly!$D:$AM, 10, FALSE), 1)</f>
        <v>9.1646310693587786E-4</v>
      </c>
      <c r="P8" s="7">
        <f>$B8 * IFERROR(VLOOKUP("LULUCF|PM25|Asthma symptoms wheeze", US_national_yearly!$D:$AM, 24, FALSE) / VLOOKUP("LULUCF|PM25|Asthma symptoms wheeze", US_national_yearly!$D:$AM, 10, FALSE), 1)</f>
        <v>9.1646310693587786E-4</v>
      </c>
      <c r="Q8" s="7">
        <f>$B8 * IFERROR(VLOOKUP("LULUCF|PM25|Asthma symptoms wheeze", US_national_yearly!$D:$AM, 25, FALSE) / VLOOKUP("LULUCF|PM25|Asthma symptoms wheeze", US_national_yearly!$D:$AM, 10, FALSE), 1)</f>
        <v>9.1646310693587786E-4</v>
      </c>
      <c r="R8" s="7">
        <f>$B8 * IFERROR(VLOOKUP("LULUCF|PM25|Asthma symptoms wheeze", US_national_yearly!$D:$AM, 26, FALSE) / VLOOKUP("LULUCF|PM25|Asthma symptoms wheeze", US_national_yearly!$D:$AM, 10, FALSE), 1)</f>
        <v>9.1646310693587786E-4</v>
      </c>
      <c r="S8" s="7">
        <f>$B8 * IFERROR(VLOOKUP("LULUCF|PM25|Asthma symptoms wheeze", US_national_yearly!$D:$AM, 27, FALSE) / VLOOKUP("LULUCF|PM25|Asthma symptoms wheeze", US_national_yearly!$D:$AM, 10, FALSE), 1)</f>
        <v>9.1646310693587786E-4</v>
      </c>
      <c r="T8" s="7">
        <f>$B8 * IFERROR(VLOOKUP("LULUCF|PM25|Asthma symptoms wheeze", US_national_yearly!$D:$AM, 28, FALSE) / VLOOKUP("LULUCF|PM25|Asthma symptoms wheeze", US_national_yearly!$D:$AM, 10, FALSE), 1)</f>
        <v>9.1646310693587786E-4</v>
      </c>
      <c r="U8" s="7">
        <f>$B8 * IFERROR(VLOOKUP("LULUCF|PM25|Asthma symptoms wheeze", US_national_yearly!$D:$AM, 29, FALSE) / VLOOKUP("LULUCF|PM25|Asthma symptoms wheeze", US_national_yearly!$D:$AM, 10, FALSE), 1)</f>
        <v>9.1646310693587786E-4</v>
      </c>
      <c r="V8" s="7">
        <f>$B8 * IFERROR(VLOOKUP("LULUCF|PM25|Asthma symptoms wheeze", US_national_yearly!$D:$AM, 30, FALSE) / VLOOKUP("LULUCF|PM25|Asthma symptoms wheeze", US_national_yearly!$D:$AM, 10, FALSE), 1)</f>
        <v>9.1646310693587786E-4</v>
      </c>
      <c r="W8" s="7">
        <f>$B8 * IFERROR(VLOOKUP("LULUCF|PM25|Asthma symptoms wheeze", US_national_yearly!$D:$AM, 31, FALSE) / VLOOKUP("LULUCF|PM25|Asthma symptoms wheeze", US_national_yearly!$D:$AM, 10, FALSE), 1)</f>
        <v>9.1646310693587786E-4</v>
      </c>
      <c r="X8" s="7">
        <f>$B8 * IFERROR(VLOOKUP("LULUCF|PM25|Asthma symptoms wheeze", US_national_yearly!$D:$AM, 32, FALSE) / VLOOKUP("LULUCF|PM25|Asthma symptoms wheeze", US_national_yearly!$D:$AM, 10, FALSE), 1)</f>
        <v>9.1646310693587786E-4</v>
      </c>
      <c r="Y8" s="7">
        <f>$B8 * IFERROR(VLOOKUP("LULUCF|PM25|Asthma symptoms wheeze", US_national_yearly!$D:$AM, 33, FALSE) / VLOOKUP("LULUCF|PM25|Asthma symptoms wheeze", US_national_yearly!$D:$AM, 10, FALSE), 1)</f>
        <v>9.1646310693587786E-4</v>
      </c>
      <c r="Z8" s="7">
        <f>$B8 * IFERROR(VLOOKUP("LULUCF|PM25|Asthma symptoms wheeze", US_national_yearly!$D:$AM, 34, FALSE) / VLOOKUP("LULUCF|PM25|Asthma symptoms wheeze", US_national_yearly!$D:$AM, 10, FALSE), 1)</f>
        <v>9.1646310693587786E-4</v>
      </c>
      <c r="AA8" s="7">
        <f>$B8 * IFERROR(VLOOKUP("LULUCF|PM25|Asthma symptoms wheeze", US_national_yearly!$D:$AM, 35, FALSE) / VLOOKUP("LULUCF|PM25|Asthma symptoms wheeze", US_national_yearly!$D:$AM, 10, FALSE), 1)</f>
        <v>9.1646310693587786E-4</v>
      </c>
      <c r="AB8" s="7">
        <f>$B8 * IFERROR(VLOOKUP("LULUCF|PM25|Asthma symptoms wheeze", US_national_yearly!$D:$AM, 36, FALSE) / VLOOKUP("LULUCF|PM25|Asthma symptoms wheeze", US_national_yearly!$D:$AM, 10, FALSE), 1)</f>
        <v>9.1646310693587786E-4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1.6445956619287602E-5</v>
      </c>
      <c r="C12" s="7">
        <f>$B12 * IFERROR(VLOOKUP("LULUCF|PM25|Respiratory hospital admissions", US_national_yearly!$D:$AM, 11, FALSE) / VLOOKUP("LULUCF|PM25|Respiratory hospital admissions", US_national_yearly!$D:$AM, 10, FALSE), 1)</f>
        <v>1.6540218213972205E-5</v>
      </c>
      <c r="D12" s="7">
        <f>$B12 * IFERROR(VLOOKUP("LULUCF|PM25|Respiratory hospital admissions", US_national_yearly!$D:$AM, 12, FALSE) / VLOOKUP("LULUCF|PM25|Respiratory hospital admissions", US_national_yearly!$D:$AM, 10, FALSE), 1)</f>
        <v>1.6634479808656802E-5</v>
      </c>
      <c r="E12" s="7">
        <f>$B12 * IFERROR(VLOOKUP("LULUCF|PM25|Respiratory hospital admissions", US_national_yearly!$D:$AM, 13, FALSE) / VLOOKUP("LULUCF|PM25|Respiratory hospital admissions", US_national_yearly!$D:$AM, 10, FALSE), 1)</f>
        <v>1.6728741403341406E-5</v>
      </c>
      <c r="F12" s="7">
        <f>$B12 * IFERROR(VLOOKUP("LULUCF|PM25|Respiratory hospital admissions", US_national_yearly!$D:$AM, 14, FALSE) / VLOOKUP("LULUCF|PM25|Respiratory hospital admissions", US_national_yearly!$D:$AM, 10, FALSE), 1)</f>
        <v>1.6823002998026003E-5</v>
      </c>
      <c r="G12" s="7">
        <f>$B12 * IFERROR(VLOOKUP("LULUCF|PM25|Respiratory hospital admissions", US_national_yearly!$D:$AM, 15, FALSE) / VLOOKUP("LULUCF|PM25|Respiratory hospital admissions", US_national_yearly!$D:$AM, 10, FALSE), 1)</f>
        <v>1.6924809541039678E-5</v>
      </c>
      <c r="H12" s="7">
        <f>$B12 * IFERROR(VLOOKUP("LULUCF|PM25|Respiratory hospital admissions", US_national_yearly!$D:$AM, 16, FALSE) / VLOOKUP("LULUCF|PM25|Respiratory hospital admissions", US_national_yearly!$D:$AM, 10, FALSE), 1)</f>
        <v>1.7026616084053354E-5</v>
      </c>
      <c r="I12" s="7">
        <f>$B12 * IFERROR(VLOOKUP("LULUCF|PM25|Respiratory hospital admissions", US_national_yearly!$D:$AM, 17, FALSE) / VLOOKUP("LULUCF|PM25|Respiratory hospital admissions", US_national_yearly!$D:$AM, 10, FALSE), 1)</f>
        <v>1.7123888367914809E-5</v>
      </c>
      <c r="J12" s="7">
        <f>$B12 * IFERROR(VLOOKUP("LULUCF|PM25|Respiratory hospital admissions", US_national_yearly!$D:$AM, 18, FALSE) / VLOOKUP("LULUCF|PM25|Respiratory hospital admissions", US_national_yearly!$D:$AM, 10, FALSE), 1)</f>
        <v>1.7221160651776272E-5</v>
      </c>
      <c r="K12" s="7">
        <f>$B12 * IFERROR(VLOOKUP("LULUCF|PM25|Respiratory hospital admissions", US_national_yearly!$D:$AM, 19, FALSE) / VLOOKUP("LULUCF|PM25|Respiratory hospital admissions", US_national_yearly!$D:$AM, 10, FALSE), 1)</f>
        <v>1.7318432935637731E-5</v>
      </c>
      <c r="L12" s="7">
        <f>$B12 * IFERROR(VLOOKUP("LULUCF|PM25|Respiratory hospital admissions", US_national_yearly!$D:$AM, 20, FALSE) / VLOOKUP("LULUCF|PM25|Respiratory hospital admissions", US_national_yearly!$D:$AM, 10, FALSE), 1)</f>
        <v>1.7415705219499193E-5</v>
      </c>
      <c r="M12" s="7">
        <f>$B12 * IFERROR(VLOOKUP("LULUCF|PM25|Respiratory hospital admissions", US_national_yearly!$D:$AM, 21, FALSE) / VLOOKUP("LULUCF|PM25|Respiratory hospital admissions", US_national_yearly!$D:$AM, 10, FALSE), 1)</f>
        <v>1.7512977503360649E-5</v>
      </c>
      <c r="N12" s="7">
        <f>$B12 * IFERROR(VLOOKUP("LULUCF|PM25|Respiratory hospital admissions", US_national_yearly!$D:$AM, 22, FALSE) / VLOOKUP("LULUCF|PM25|Respiratory hospital admissions", US_national_yearly!$D:$AM, 10, FALSE), 1)</f>
        <v>1.7582792660071175E-5</v>
      </c>
      <c r="O12" s="7">
        <f>$B12 * IFERROR(VLOOKUP("LULUCF|PM25|Respiratory hospital admissions", US_national_yearly!$D:$AM, 23, FALSE) / VLOOKUP("LULUCF|PM25|Respiratory hospital admissions", US_national_yearly!$D:$AM, 10, FALSE), 1)</f>
        <v>1.7652607816781694E-5</v>
      </c>
      <c r="P12" s="7">
        <f>$B12 * IFERROR(VLOOKUP("LULUCF|PM25|Respiratory hospital admissions", US_national_yearly!$D:$AM, 24, FALSE) / VLOOKUP("LULUCF|PM25|Respiratory hospital admissions", US_national_yearly!$D:$AM, 10, FALSE), 1)</f>
        <v>1.7722422973492214E-5</v>
      </c>
      <c r="Q12" s="7">
        <f>$B12 * IFERROR(VLOOKUP("LULUCF|PM25|Respiratory hospital admissions", US_national_yearly!$D:$AM, 25, FALSE) / VLOOKUP("LULUCF|PM25|Respiratory hospital admissions", US_national_yearly!$D:$AM, 10, FALSE), 1)</f>
        <v>1.7792238130202736E-5</v>
      </c>
      <c r="R12" s="7">
        <f>$B12 * IFERROR(VLOOKUP("LULUCF|PM25|Respiratory hospital admissions", US_national_yearly!$D:$AM, 26, FALSE) / VLOOKUP("LULUCF|PM25|Respiratory hospital admissions", US_national_yearly!$D:$AM, 10, FALSE), 1)</f>
        <v>1.7862053286913262E-5</v>
      </c>
      <c r="S12" s="7">
        <f>$B12 * IFERROR(VLOOKUP("LULUCF|PM25|Respiratory hospital admissions", US_national_yearly!$D:$AM, 27, FALSE) / VLOOKUP("LULUCF|PM25|Respiratory hospital admissions", US_national_yearly!$D:$AM, 10, FALSE), 1)</f>
        <v>1.7928526515496178E-5</v>
      </c>
      <c r="T12" s="7">
        <f>$B12 * IFERROR(VLOOKUP("LULUCF|PM25|Respiratory hospital admissions", US_national_yearly!$D:$AM, 28, FALSE) / VLOOKUP("LULUCF|PM25|Respiratory hospital admissions", US_national_yearly!$D:$AM, 10, FALSE), 1)</f>
        <v>1.7994999744079101E-5</v>
      </c>
      <c r="U12" s="7">
        <f>$B12 * IFERROR(VLOOKUP("LULUCF|PM25|Respiratory hospital admissions", US_national_yearly!$D:$AM, 29, FALSE) / VLOOKUP("LULUCF|PM25|Respiratory hospital admissions", US_national_yearly!$D:$AM, 10, FALSE), 1)</f>
        <v>1.8061472972662018E-5</v>
      </c>
      <c r="V12" s="7">
        <f>$B12 * IFERROR(VLOOKUP("LULUCF|PM25|Respiratory hospital admissions", US_national_yearly!$D:$AM, 30, FALSE) / VLOOKUP("LULUCF|PM25|Respiratory hospital admissions", US_national_yearly!$D:$AM, 10, FALSE), 1)</f>
        <v>1.8127946201244937E-5</v>
      </c>
      <c r="W12" s="7">
        <f>$B12 * IFERROR(VLOOKUP("LULUCF|PM25|Respiratory hospital admissions", US_national_yearly!$D:$AM, 31, FALSE) / VLOOKUP("LULUCF|PM25|Respiratory hospital admissions", US_national_yearly!$D:$AM, 10, FALSE), 1)</f>
        <v>1.8194419429827853E-5</v>
      </c>
      <c r="X12" s="7">
        <f>$B12 * IFERROR(VLOOKUP("LULUCF|PM25|Respiratory hospital admissions", US_national_yearly!$D:$AM, 32, FALSE) / VLOOKUP("LULUCF|PM25|Respiratory hospital admissions", US_national_yearly!$D:$AM, 10, FALSE), 1)</f>
        <v>1.8258367523668437E-5</v>
      </c>
      <c r="Y12" s="7">
        <f>$B12 * IFERROR(VLOOKUP("LULUCF|PM25|Respiratory hospital admissions", US_national_yearly!$D:$AM, 33, FALSE) / VLOOKUP("LULUCF|PM25|Respiratory hospital admissions", US_national_yearly!$D:$AM, 10, FALSE), 1)</f>
        <v>1.8322315617509014E-5</v>
      </c>
      <c r="Z12" s="7">
        <f>$B12 * IFERROR(VLOOKUP("LULUCF|PM25|Respiratory hospital admissions", US_national_yearly!$D:$AM, 34, FALSE) / VLOOKUP("LULUCF|PM25|Respiratory hospital admissions", US_national_yearly!$D:$AM, 10, FALSE), 1)</f>
        <v>1.8386263711349595E-5</v>
      </c>
      <c r="AA12" s="7">
        <f>$B12 * IFERROR(VLOOKUP("LULUCF|PM25|Respiratory hospital admissions", US_national_yearly!$D:$AM, 35, FALSE) / VLOOKUP("LULUCF|PM25|Respiratory hospital admissions", US_national_yearly!$D:$AM, 10, FALSE), 1)</f>
        <v>1.8450211805190172E-5</v>
      </c>
      <c r="AB12" s="7">
        <f>$B12 * IFERROR(VLOOKUP("LULUCF|PM25|Respiratory hospital admissions", US_national_yearly!$D:$AM, 36, FALSE) / VLOOKUP("LULUCF|PM25|Respiratory hospital admissions", US_national_yearly!$D:$AM, 10, FALSE), 1)</f>
        <v>1.8514159899030752E-5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8.9864805058869292E-5</v>
      </c>
      <c r="C13" s="7">
        <f>$B13 * IFERROR(VLOOKUP("LULUCF|PM25|Non-fatal heart attacks", US_national_yearly!$D:$AM, 11, FALSE) / VLOOKUP("LULUCF|PM25|Non-fatal heart attacks", US_national_yearly!$D:$AM, 10, FALSE), 1)</f>
        <v>9.2477413415829933E-5</v>
      </c>
      <c r="D13" s="7">
        <f>$B13 * IFERROR(VLOOKUP("LULUCF|PM25|Non-fatal heart attacks", US_national_yearly!$D:$AM, 12, FALSE) / VLOOKUP("LULUCF|PM25|Non-fatal heart attacks", US_national_yearly!$D:$AM, 10, FALSE), 1)</f>
        <v>9.509002177279056E-5</v>
      </c>
      <c r="E13" s="7">
        <f>$B13 * IFERROR(VLOOKUP("LULUCF|PM25|Non-fatal heart attacks", US_national_yearly!$D:$AM, 13, FALSE) / VLOOKUP("LULUCF|PM25|Non-fatal heart attacks", US_national_yearly!$D:$AM, 10, FALSE), 1)</f>
        <v>9.7702630129751174E-5</v>
      </c>
      <c r="F13" s="7">
        <f>$B13 * IFERROR(VLOOKUP("LULUCF|PM25|Non-fatal heart attacks", US_national_yearly!$D:$AM, 14, FALSE) / VLOOKUP("LULUCF|PM25|Non-fatal heart attacks", US_national_yearly!$D:$AM, 10, FALSE), 1)</f>
        <v>1.0031523848671183E-4</v>
      </c>
      <c r="G13" s="7">
        <f>$B13 * IFERROR(VLOOKUP("LULUCF|PM25|Non-fatal heart attacks", US_national_yearly!$D:$AM, 15, FALSE) / VLOOKUP("LULUCF|PM25|Non-fatal heart attacks", US_national_yearly!$D:$AM, 10, FALSE), 1)</f>
        <v>1.0277909333322395E-4</v>
      </c>
      <c r="H13" s="7">
        <f>$B13 * IFERROR(VLOOKUP("LULUCF|PM25|Non-fatal heart attacks", US_national_yearly!$D:$AM, 16, FALSE) / VLOOKUP("LULUCF|PM25|Non-fatal heart attacks", US_national_yearly!$D:$AM, 10, FALSE), 1)</f>
        <v>1.0524294817973604E-4</v>
      </c>
      <c r="I13" s="7">
        <f>$B13 * IFERROR(VLOOKUP("LULUCF|PM25|Non-fatal heart attacks", US_national_yearly!$D:$AM, 17, FALSE) / VLOOKUP("LULUCF|PM25|Non-fatal heart attacks", US_national_yearly!$D:$AM, 10, FALSE), 1)</f>
        <v>1.0722306761629855E-4</v>
      </c>
      <c r="J13" s="7">
        <f>$B13 * IFERROR(VLOOKUP("LULUCF|PM25|Non-fatal heart attacks", US_national_yearly!$D:$AM, 18, FALSE) / VLOOKUP("LULUCF|PM25|Non-fatal heart attacks", US_national_yearly!$D:$AM, 10, FALSE), 1)</f>
        <v>1.0920318705286105E-4</v>
      </c>
      <c r="K13" s="7">
        <f>$B13 * IFERROR(VLOOKUP("LULUCF|PM25|Non-fatal heart attacks", US_national_yearly!$D:$AM, 19, FALSE) / VLOOKUP("LULUCF|PM25|Non-fatal heart attacks", US_national_yearly!$D:$AM, 10, FALSE), 1)</f>
        <v>1.1118330648942357E-4</v>
      </c>
      <c r="L13" s="7">
        <f>$B13 * IFERROR(VLOOKUP("LULUCF|PM25|Non-fatal heart attacks", US_national_yearly!$D:$AM, 20, FALSE) / VLOOKUP("LULUCF|PM25|Non-fatal heart attacks", US_national_yearly!$D:$AM, 10, FALSE), 1)</f>
        <v>1.1316342592598608E-4</v>
      </c>
      <c r="M13" s="7">
        <f>$B13 * IFERROR(VLOOKUP("LULUCF|PM25|Non-fatal heart attacks", US_national_yearly!$D:$AM, 21, FALSE) / VLOOKUP("LULUCF|PM25|Non-fatal heart attacks", US_national_yearly!$D:$AM, 10, FALSE), 1)</f>
        <v>1.151435453625486E-4</v>
      </c>
      <c r="N13" s="7">
        <f>$B13 * IFERROR(VLOOKUP("LULUCF|PM25|Non-fatal heart attacks", US_national_yearly!$D:$AM, 22, FALSE) / VLOOKUP("LULUCF|PM25|Non-fatal heart attacks", US_national_yearly!$D:$AM, 10, FALSE), 1)</f>
        <v>1.1642052687128784E-4</v>
      </c>
      <c r="O13" s="7">
        <f>$B13 * IFERROR(VLOOKUP("LULUCF|PM25|Non-fatal heart attacks", US_national_yearly!$D:$AM, 23, FALSE) / VLOOKUP("LULUCF|PM25|Non-fatal heart attacks", US_national_yearly!$D:$AM, 10, FALSE), 1)</f>
        <v>1.1769750838002709E-4</v>
      </c>
      <c r="P13" s="7">
        <f>$B13 * IFERROR(VLOOKUP("LULUCF|PM25|Non-fatal heart attacks", US_national_yearly!$D:$AM, 24, FALSE) / VLOOKUP("LULUCF|PM25|Non-fatal heart attacks", US_national_yearly!$D:$AM, 10, FALSE), 1)</f>
        <v>1.1897448988876634E-4</v>
      </c>
      <c r="Q13" s="7">
        <f>$B13 * IFERROR(VLOOKUP("LULUCF|PM25|Non-fatal heart attacks", US_national_yearly!$D:$AM, 25, FALSE) / VLOOKUP("LULUCF|PM25|Non-fatal heart attacks", US_national_yearly!$D:$AM, 10, FALSE), 1)</f>
        <v>1.2025147139750558E-4</v>
      </c>
      <c r="R13" s="7">
        <f>$B13 * IFERROR(VLOOKUP("LULUCF|PM25|Non-fatal heart attacks", US_national_yearly!$D:$AM, 26, FALSE) / VLOOKUP("LULUCF|PM25|Non-fatal heart attacks", US_national_yearly!$D:$AM, 10, FALSE), 1)</f>
        <v>1.2152845290624484E-4</v>
      </c>
      <c r="S13" s="7">
        <f>$B13 * IFERROR(VLOOKUP("LULUCF|PM25|Non-fatal heart attacks", US_national_yearly!$D:$AM, 27, FALSE) / VLOOKUP("LULUCF|PM25|Non-fatal heart attacks", US_national_yearly!$D:$AM, 10, FALSE), 1)</f>
        <v>1.2220094785183019E-4</v>
      </c>
      <c r="T13" s="7">
        <f>$B13 * IFERROR(VLOOKUP("LULUCF|PM25|Non-fatal heart attacks", US_national_yearly!$D:$AM, 28, FALSE) / VLOOKUP("LULUCF|PM25|Non-fatal heart attacks", US_national_yearly!$D:$AM, 10, FALSE), 1)</f>
        <v>1.2287344279741558E-4</v>
      </c>
      <c r="U13" s="7">
        <f>$B13 * IFERROR(VLOOKUP("LULUCF|PM25|Non-fatal heart attacks", US_national_yearly!$D:$AM, 29, FALSE) / VLOOKUP("LULUCF|PM25|Non-fatal heart attacks", US_national_yearly!$D:$AM, 10, FALSE), 1)</f>
        <v>1.2354593774300098E-4</v>
      </c>
      <c r="V13" s="7">
        <f>$B13 * IFERROR(VLOOKUP("LULUCF|PM25|Non-fatal heart attacks", US_national_yearly!$D:$AM, 30, FALSE) / VLOOKUP("LULUCF|PM25|Non-fatal heart attacks", US_national_yearly!$D:$AM, 10, FALSE), 1)</f>
        <v>1.2421843268858637E-4</v>
      </c>
      <c r="W13" s="7">
        <f>$B13 * IFERROR(VLOOKUP("LULUCF|PM25|Non-fatal heart attacks", US_national_yearly!$D:$AM, 31, FALSE) / VLOOKUP("LULUCF|PM25|Non-fatal heart attacks", US_national_yearly!$D:$AM, 10, FALSE), 1)</f>
        <v>1.2489092763417174E-4</v>
      </c>
      <c r="X13" s="7">
        <f>$B13 * IFERROR(VLOOKUP("LULUCF|PM25|Non-fatal heart attacks", US_national_yearly!$D:$AM, 32, FALSE) / VLOOKUP("LULUCF|PM25|Non-fatal heart attacks", US_national_yearly!$D:$AM, 10, FALSE), 1)</f>
        <v>1.2540144853864167E-4</v>
      </c>
      <c r="Y13" s="7">
        <f>$B13 * IFERROR(VLOOKUP("LULUCF|PM25|Non-fatal heart attacks", US_national_yearly!$D:$AM, 33, FALSE) / VLOOKUP("LULUCF|PM25|Non-fatal heart attacks", US_national_yearly!$D:$AM, 10, FALSE), 1)</f>
        <v>1.2591196944311165E-4</v>
      </c>
      <c r="Z13" s="7">
        <f>$B13 * IFERROR(VLOOKUP("LULUCF|PM25|Non-fatal heart attacks", US_national_yearly!$D:$AM, 34, FALSE) / VLOOKUP("LULUCF|PM25|Non-fatal heart attacks", US_national_yearly!$D:$AM, 10, FALSE), 1)</f>
        <v>1.2642249034758158E-4</v>
      </c>
      <c r="AA13" s="7">
        <f>$B13 * IFERROR(VLOOKUP("LULUCF|PM25|Non-fatal heart attacks", US_national_yearly!$D:$AM, 35, FALSE) / VLOOKUP("LULUCF|PM25|Non-fatal heart attacks", US_national_yearly!$D:$AM, 10, FALSE), 1)</f>
        <v>1.2693301125205154E-4</v>
      </c>
      <c r="AB13" s="7">
        <f>$B13 * IFERROR(VLOOKUP("LULUCF|PM25|Non-fatal heart attacks", US_national_yearly!$D:$AM, 36, FALSE) / VLOOKUP("LULUCF|PM25|Non-fatal heart attacks", US_national_yearly!$D:$AM, 10, FALSE), 1)</f>
        <v>1.2744353215652149E-4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5.5318857754985955E-2</v>
      </c>
      <c r="C14" s="7">
        <f>$B14 * IFERROR(VLOOKUP("LULUCF|PM25|Minor restricted activity days", US_national_yearly!$D:$AM, 11, FALSE) / VLOOKUP("LULUCF|PM25|Minor restricted activity days", US_national_yearly!$D:$AM, 10, FALSE), 1)</f>
        <v>5.5453952965935867E-2</v>
      </c>
      <c r="D14" s="7">
        <f>$B14 * IFERROR(VLOOKUP("LULUCF|PM25|Minor restricted activity days", US_national_yearly!$D:$AM, 12, FALSE) / VLOOKUP("LULUCF|PM25|Minor restricted activity days", US_national_yearly!$D:$AM, 10, FALSE), 1)</f>
        <v>5.5589048176885772E-2</v>
      </c>
      <c r="E14" s="7">
        <f>$B14 * IFERROR(VLOOKUP("LULUCF|PM25|Minor restricted activity days", US_national_yearly!$D:$AM, 13, FALSE) / VLOOKUP("LULUCF|PM25|Minor restricted activity days", US_national_yearly!$D:$AM, 10, FALSE), 1)</f>
        <v>5.5724143387835698E-2</v>
      </c>
      <c r="F14" s="7">
        <f>$B14 * IFERROR(VLOOKUP("LULUCF|PM25|Minor restricted activity days", US_national_yearly!$D:$AM, 14, FALSE) / VLOOKUP("LULUCF|PM25|Minor restricted activity days", US_national_yearly!$D:$AM, 10, FALSE), 1)</f>
        <v>5.5859238598785596E-2</v>
      </c>
      <c r="G14" s="7">
        <f>$B14 * IFERROR(VLOOKUP("LULUCF|PM25|Minor restricted activity days", US_national_yearly!$D:$AM, 15, FALSE) / VLOOKUP("LULUCF|PM25|Minor restricted activity days", US_national_yearly!$D:$AM, 10, FALSE), 1)</f>
        <v>5.6058567539492885E-2</v>
      </c>
      <c r="H14" s="7">
        <f>$B14 * IFERROR(VLOOKUP("LULUCF|PM25|Minor restricted activity days", US_national_yearly!$D:$AM, 16, FALSE) / VLOOKUP("LULUCF|PM25|Minor restricted activity days", US_national_yearly!$D:$AM, 10, FALSE), 1)</f>
        <v>5.6257896480200173E-2</v>
      </c>
      <c r="I14" s="7">
        <f>$B14 * IFERROR(VLOOKUP("LULUCF|PM25|Minor restricted activity days", US_national_yearly!$D:$AM, 17, FALSE) / VLOOKUP("LULUCF|PM25|Minor restricted activity days", US_national_yearly!$D:$AM, 10, FALSE), 1)</f>
        <v>5.6598657690273418E-2</v>
      </c>
      <c r="J14" s="7">
        <f>$B14 * IFERROR(VLOOKUP("LULUCF|PM25|Minor restricted activity days", US_national_yearly!$D:$AM, 18, FALSE) / VLOOKUP("LULUCF|PM25|Minor restricted activity days", US_national_yearly!$D:$AM, 10, FALSE), 1)</f>
        <v>5.6939418900346636E-2</v>
      </c>
      <c r="K14" s="7">
        <f>$B14 * IFERROR(VLOOKUP("LULUCF|PM25|Minor restricted activity days", US_national_yearly!$D:$AM, 19, FALSE) / VLOOKUP("LULUCF|PM25|Minor restricted activity days", US_national_yearly!$D:$AM, 10, FALSE), 1)</f>
        <v>5.7280180110419875E-2</v>
      </c>
      <c r="L14" s="7">
        <f>$B14 * IFERROR(VLOOKUP("LULUCF|PM25|Minor restricted activity days", US_national_yearly!$D:$AM, 20, FALSE) / VLOOKUP("LULUCF|PM25|Minor restricted activity days", US_national_yearly!$D:$AM, 10, FALSE), 1)</f>
        <v>5.7620941320493106E-2</v>
      </c>
      <c r="M14" s="7">
        <f>$B14 * IFERROR(VLOOKUP("LULUCF|PM25|Minor restricted activity days", US_national_yearly!$D:$AM, 21, FALSE) / VLOOKUP("LULUCF|PM25|Minor restricted activity days", US_national_yearly!$D:$AM, 10, FALSE), 1)</f>
        <v>5.7961702530566338E-2</v>
      </c>
      <c r="N14" s="7">
        <f>$B14 * IFERROR(VLOOKUP("LULUCF|PM25|Minor restricted activity days", US_national_yearly!$D:$AM, 22, FALSE) / VLOOKUP("LULUCF|PM25|Minor restricted activity days", US_national_yearly!$D:$AM, 10, FALSE), 1)</f>
        <v>5.8425887144122349E-2</v>
      </c>
      <c r="O14" s="7">
        <f>$B14 * IFERROR(VLOOKUP("LULUCF|PM25|Minor restricted activity days", US_national_yearly!$D:$AM, 23, FALSE) / VLOOKUP("LULUCF|PM25|Minor restricted activity days", US_national_yearly!$D:$AM, 10, FALSE), 1)</f>
        <v>5.8890071757678353E-2</v>
      </c>
      <c r="P14" s="7">
        <f>$B14 * IFERROR(VLOOKUP("LULUCF|PM25|Minor restricted activity days", US_national_yearly!$D:$AM, 24, FALSE) / VLOOKUP("LULUCF|PM25|Minor restricted activity days", US_national_yearly!$D:$AM, 10, FALSE), 1)</f>
        <v>5.9354256371234364E-2</v>
      </c>
      <c r="Q14" s="7">
        <f>$B14 * IFERROR(VLOOKUP("LULUCF|PM25|Minor restricted activity days", US_national_yearly!$D:$AM, 25, FALSE) / VLOOKUP("LULUCF|PM25|Minor restricted activity days", US_national_yearly!$D:$AM, 10, FALSE), 1)</f>
        <v>5.9818440984790361E-2</v>
      </c>
      <c r="R14" s="7">
        <f>$B14 * IFERROR(VLOOKUP("LULUCF|PM25|Minor restricted activity days", US_national_yearly!$D:$AM, 26, FALSE) / VLOOKUP("LULUCF|PM25|Minor restricted activity days", US_national_yearly!$D:$AM, 10, FALSE), 1)</f>
        <v>6.0282625598346358E-2</v>
      </c>
      <c r="S14" s="7">
        <f>$B14 * IFERROR(VLOOKUP("LULUCF|PM25|Minor restricted activity days", US_national_yearly!$D:$AM, 27, FALSE) / VLOOKUP("LULUCF|PM25|Minor restricted activity days", US_national_yearly!$D:$AM, 10, FALSE), 1)</f>
        <v>6.0750006899232191E-2</v>
      </c>
      <c r="T14" s="7">
        <f>$B14 * IFERROR(VLOOKUP("LULUCF|PM25|Minor restricted activity days", US_national_yearly!$D:$AM, 28, FALSE) / VLOOKUP("LULUCF|PM25|Minor restricted activity days", US_national_yearly!$D:$AM, 10, FALSE), 1)</f>
        <v>6.1217388200118024E-2</v>
      </c>
      <c r="U14" s="7">
        <f>$B14 * IFERROR(VLOOKUP("LULUCF|PM25|Minor restricted activity days", US_national_yearly!$D:$AM, 29, FALSE) / VLOOKUP("LULUCF|PM25|Minor restricted activity days", US_national_yearly!$D:$AM, 10, FALSE), 1)</f>
        <v>6.1684769501003857E-2</v>
      </c>
      <c r="V14" s="7">
        <f>$B14 * IFERROR(VLOOKUP("LULUCF|PM25|Minor restricted activity days", US_national_yearly!$D:$AM, 30, FALSE) / VLOOKUP("LULUCF|PM25|Minor restricted activity days", US_national_yearly!$D:$AM, 10, FALSE), 1)</f>
        <v>6.215215080188969E-2</v>
      </c>
      <c r="W14" s="7">
        <f>$B14 * IFERROR(VLOOKUP("LULUCF|PM25|Minor restricted activity days", US_national_yearly!$D:$AM, 31, FALSE) / VLOOKUP("LULUCF|PM25|Minor restricted activity days", US_national_yearly!$D:$AM, 10, FALSE), 1)</f>
        <v>6.2619532102775516E-2</v>
      </c>
      <c r="X14" s="7">
        <f>$B14 * IFERROR(VLOOKUP("LULUCF|PM25|Minor restricted activity days", US_national_yearly!$D:$AM, 32, FALSE) / VLOOKUP("LULUCF|PM25|Minor restricted activity days", US_national_yearly!$D:$AM, 10, FALSE), 1)</f>
        <v>6.3025266091397886E-2</v>
      </c>
      <c r="Y14" s="7">
        <f>$B14 * IFERROR(VLOOKUP("LULUCF|PM25|Minor restricted activity days", US_national_yearly!$D:$AM, 33, FALSE) / VLOOKUP("LULUCF|PM25|Minor restricted activity days", US_national_yearly!$D:$AM, 10, FALSE), 1)</f>
        <v>6.3431000080020256E-2</v>
      </c>
      <c r="Z14" s="7">
        <f>$B14 * IFERROR(VLOOKUP("LULUCF|PM25|Minor restricted activity days", US_national_yearly!$D:$AM, 34, FALSE) / VLOOKUP("LULUCF|PM25|Minor restricted activity days", US_national_yearly!$D:$AM, 10, FALSE), 1)</f>
        <v>6.3836734068642625E-2</v>
      </c>
      <c r="AA14" s="7">
        <f>$B14 * IFERROR(VLOOKUP("LULUCF|PM25|Minor restricted activity days", US_national_yearly!$D:$AM, 35, FALSE) / VLOOKUP("LULUCF|PM25|Minor restricted activity days", US_national_yearly!$D:$AM, 10, FALSE), 1)</f>
        <v>6.4242468057264995E-2</v>
      </c>
      <c r="AB14" s="7">
        <f>$B14 * IFERROR(VLOOKUP("LULUCF|PM25|Minor restricted activity days", US_national_yearly!$D:$AM, 36, FALSE) / VLOOKUP("LULUCF|PM25|Minor restricted activity days", US_national_yearly!$D:$AM, 10, FALSE), 1)</f>
        <v>6.4648202045887365E-2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9.3609544822172742E-3</v>
      </c>
      <c r="C15" s="7">
        <f>$B15 * IFERROR(VLOOKUP("LULUCF|PM25|Work loss days", US_national_yearly!$D:$AM, 11, FALSE) / VLOOKUP("LULUCF|PM25|Work loss days", US_national_yearly!$D:$AM, 10, FALSE), 1)</f>
        <v>9.3899700695697277E-3</v>
      </c>
      <c r="D15" s="7">
        <f>$B15 * IFERROR(VLOOKUP("LULUCF|PM25|Work loss days", US_national_yearly!$D:$AM, 12, FALSE) / VLOOKUP("LULUCF|PM25|Work loss days", US_national_yearly!$D:$AM, 10, FALSE), 1)</f>
        <v>9.4189856569221828E-3</v>
      </c>
      <c r="E15" s="7">
        <f>$B15 * IFERROR(VLOOKUP("LULUCF|PM25|Work loss days", US_national_yearly!$D:$AM, 13, FALSE) / VLOOKUP("LULUCF|PM25|Work loss days", US_national_yearly!$D:$AM, 10, FALSE), 1)</f>
        <v>9.4480012442746345E-3</v>
      </c>
      <c r="F15" s="7">
        <f>$B15 * IFERROR(VLOOKUP("LULUCF|PM25|Work loss days", US_national_yearly!$D:$AM, 14, FALSE) / VLOOKUP("LULUCF|PM25|Work loss days", US_national_yearly!$D:$AM, 10, FALSE), 1)</f>
        <v>9.4770168316270879E-3</v>
      </c>
      <c r="G15" s="7">
        <f>$B15 * IFERROR(VLOOKUP("LULUCF|PM25|Work loss days", US_national_yearly!$D:$AM, 15, FALSE) / VLOOKUP("LULUCF|PM25|Work loss days", US_national_yearly!$D:$AM, 10, FALSE), 1)</f>
        <v>9.5150581181586112E-3</v>
      </c>
      <c r="H15" s="7">
        <f>$B15 * IFERROR(VLOOKUP("LULUCF|PM25|Work loss days", US_national_yearly!$D:$AM, 16, FALSE) / VLOOKUP("LULUCF|PM25|Work loss days", US_national_yearly!$D:$AM, 10, FALSE), 1)</f>
        <v>9.553099404690138E-3</v>
      </c>
      <c r="I15" s="7">
        <f>$B15 * IFERROR(VLOOKUP("LULUCF|PM25|Work loss days", US_national_yearly!$D:$AM, 17, FALSE) / VLOOKUP("LULUCF|PM25|Work loss days", US_national_yearly!$D:$AM, 10, FALSE), 1)</f>
        <v>9.6091193830752011E-3</v>
      </c>
      <c r="J15" s="7">
        <f>$B15 * IFERROR(VLOOKUP("LULUCF|PM25|Work loss days", US_national_yearly!$D:$AM, 18, FALSE) / VLOOKUP("LULUCF|PM25|Work loss days", US_national_yearly!$D:$AM, 10, FALSE), 1)</f>
        <v>9.6651393614602659E-3</v>
      </c>
      <c r="K15" s="7">
        <f>$B15 * IFERROR(VLOOKUP("LULUCF|PM25|Work loss days", US_national_yearly!$D:$AM, 19, FALSE) / VLOOKUP("LULUCF|PM25|Work loss days", US_national_yearly!$D:$AM, 10, FALSE), 1)</f>
        <v>9.7211593398453307E-3</v>
      </c>
      <c r="L15" s="7">
        <f>$B15 * IFERROR(VLOOKUP("LULUCF|PM25|Work loss days", US_national_yearly!$D:$AM, 20, FALSE) / VLOOKUP("LULUCF|PM25|Work loss days", US_national_yearly!$D:$AM, 10, FALSE), 1)</f>
        <v>9.7771793182303956E-3</v>
      </c>
      <c r="M15" s="7">
        <f>$B15 * IFERROR(VLOOKUP("LULUCF|PM25|Work loss days", US_national_yearly!$D:$AM, 21, FALSE) / VLOOKUP("LULUCF|PM25|Work loss days", US_national_yearly!$D:$AM, 10, FALSE), 1)</f>
        <v>9.8331992966154587E-3</v>
      </c>
      <c r="N15" s="7">
        <f>$B15 * IFERROR(VLOOKUP("LULUCF|PM25|Work loss days", US_national_yearly!$D:$AM, 22, FALSE) / VLOOKUP("LULUCF|PM25|Work loss days", US_national_yearly!$D:$AM, 10, FALSE), 1)</f>
        <v>9.903704679498063E-3</v>
      </c>
      <c r="O15" s="7">
        <f>$B15 * IFERROR(VLOOKUP("LULUCF|PM25|Work loss days", US_national_yearly!$D:$AM, 23, FALSE) / VLOOKUP("LULUCF|PM25|Work loss days", US_national_yearly!$D:$AM, 10, FALSE), 1)</f>
        <v>9.9742100623806656E-3</v>
      </c>
      <c r="P15" s="7">
        <f>$B15 * IFERROR(VLOOKUP("LULUCF|PM25|Work loss days", US_national_yearly!$D:$AM, 24, FALSE) / VLOOKUP("LULUCF|PM25|Work loss days", US_national_yearly!$D:$AM, 10, FALSE), 1)</f>
        <v>1.004471544526327E-2</v>
      </c>
      <c r="Q15" s="7">
        <f>$B15 * IFERROR(VLOOKUP("LULUCF|PM25|Work loss days", US_national_yearly!$D:$AM, 25, FALSE) / VLOOKUP("LULUCF|PM25|Work loss days", US_national_yearly!$D:$AM, 10, FALSE), 1)</f>
        <v>1.0115220828145872E-2</v>
      </c>
      <c r="R15" s="7">
        <f>$B15 * IFERROR(VLOOKUP("LULUCF|PM25|Work loss days", US_national_yearly!$D:$AM, 26, FALSE) / VLOOKUP("LULUCF|PM25|Work loss days", US_national_yearly!$D:$AM, 10, FALSE), 1)</f>
        <v>1.0185726211028477E-2</v>
      </c>
      <c r="S15" s="7">
        <f>$B15 * IFERROR(VLOOKUP("LULUCF|PM25|Work loss days", US_national_yearly!$D:$AM, 27, FALSE) / VLOOKUP("LULUCF|PM25|Work loss days", US_national_yearly!$D:$AM, 10, FALSE), 1)</f>
        <v>1.0263708174614892E-2</v>
      </c>
      <c r="T15" s="7">
        <f>$B15 * IFERROR(VLOOKUP("LULUCF|PM25|Work loss days", US_national_yearly!$D:$AM, 28, FALSE) / VLOOKUP("LULUCF|PM25|Work loss days", US_national_yearly!$D:$AM, 10, FALSE), 1)</f>
        <v>1.034169013820131E-2</v>
      </c>
      <c r="U15" s="7">
        <f>$B15 * IFERROR(VLOOKUP("LULUCF|PM25|Work loss days", US_national_yearly!$D:$AM, 29, FALSE) / VLOOKUP("LULUCF|PM25|Work loss days", US_national_yearly!$D:$AM, 10, FALSE), 1)</f>
        <v>1.0419672101787724E-2</v>
      </c>
      <c r="V15" s="7">
        <f>$B15 * IFERROR(VLOOKUP("LULUCF|PM25|Work loss days", US_national_yearly!$D:$AM, 30, FALSE) / VLOOKUP("LULUCF|PM25|Work loss days", US_national_yearly!$D:$AM, 10, FALSE), 1)</f>
        <v>1.0497654065374142E-2</v>
      </c>
      <c r="W15" s="7">
        <f>$B15 * IFERROR(VLOOKUP("LULUCF|PM25|Work loss days", US_national_yearly!$D:$AM, 31, FALSE) / VLOOKUP("LULUCF|PM25|Work loss days", US_national_yearly!$D:$AM, 10, FALSE), 1)</f>
        <v>1.0575636028960559E-2</v>
      </c>
      <c r="X15" s="7">
        <f>$B15 * IFERROR(VLOOKUP("LULUCF|PM25|Work loss days", US_national_yearly!$D:$AM, 32, FALSE) / VLOOKUP("LULUCF|PM25|Work loss days", US_national_yearly!$D:$AM, 10, FALSE), 1)</f>
        <v>1.064482706267977E-2</v>
      </c>
      <c r="Y15" s="7">
        <f>$B15 * IFERROR(VLOOKUP("LULUCF|PM25|Work loss days", US_national_yearly!$D:$AM, 33, FALSE) / VLOOKUP("LULUCF|PM25|Work loss days", US_national_yearly!$D:$AM, 10, FALSE), 1)</f>
        <v>1.0714018096398981E-2</v>
      </c>
      <c r="Z15" s="7">
        <f>$B15 * IFERROR(VLOOKUP("LULUCF|PM25|Work loss days", US_national_yearly!$D:$AM, 34, FALSE) / VLOOKUP("LULUCF|PM25|Work loss days", US_national_yearly!$D:$AM, 10, FALSE), 1)</f>
        <v>1.0783209130118194E-2</v>
      </c>
      <c r="AA15" s="7">
        <f>$B15 * IFERROR(VLOOKUP("LULUCF|PM25|Work loss days", US_national_yearly!$D:$AM, 35, FALSE) / VLOOKUP("LULUCF|PM25|Work loss days", US_national_yearly!$D:$AM, 10, FALSE), 1)</f>
        <v>1.0852400163837409E-2</v>
      </c>
      <c r="AB15" s="7">
        <f>$B15 * IFERROR(VLOOKUP("LULUCF|PM25|Work loss days", US_national_yearly!$D:$AM, 36, FALSE) / VLOOKUP("LULUCF|PM25|Work loss days", US_national_yearly!$D:$AM, 10, FALSE), 1)</f>
        <v>1.092159119755662E-2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2.2559418095088673E-5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2.3233509238832427E-5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2.3907600382576184E-5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2.4581691526319942E-5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2.5255782670063699E-5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2.5901441575059658E-5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2.654710048005563E-5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2.709930342370307E-5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2.7651506367350502E-5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2.8203709310997939E-5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2.8755912254645385E-5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2.9308115198292821E-5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2.9676281508351926E-5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3.0044447818411038E-5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3.0412614128470147E-5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3.0780780438529259E-5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3.1148946748588368E-5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3.1343741099009818E-5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3.1538535449431269E-5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3.1733329799852713E-5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3.1928124150274157E-5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3.2122918500695608E-5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3.2254056619718394E-5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3.2385194738741174E-5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3.251633285776396E-5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3.2647470976786746E-5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3.2778609095809526E-5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1.9793098298844522E-4</v>
      </c>
      <c r="C2" s="7">
        <f>$B2 * IFERROR(VLOOKUP("LULUCF|NOx|Premature mortality", US_national_yearly!$D:$AM, 11, FALSE) / VLOOKUP("LULUCF|NOx|Premature mortality", US_national_yearly!$D:$AM, 10, FALSE), 1)</f>
        <v>2.008382545750537E-4</v>
      </c>
      <c r="D2" s="7">
        <f>$B2 * IFERROR(VLOOKUP("LULUCF|NOx|Premature mortality", US_national_yearly!$D:$AM, 12, FALSE) / VLOOKUP("LULUCF|NOx|Premature mortality", US_national_yearly!$D:$AM, 10, FALSE), 1)</f>
        <v>2.0374552616166211E-4</v>
      </c>
      <c r="E2" s="7">
        <f>$B2 * IFERROR(VLOOKUP("LULUCF|NOx|Premature mortality", US_national_yearly!$D:$AM, 13, FALSE) / VLOOKUP("LULUCF|NOx|Premature mortality", US_national_yearly!$D:$AM, 10, FALSE), 1)</f>
        <v>2.0665279774827061E-4</v>
      </c>
      <c r="F2" s="7">
        <f>$B2 * IFERROR(VLOOKUP("LULUCF|NOx|Premature mortality", US_national_yearly!$D:$AM, 14, FALSE) / VLOOKUP("LULUCF|NOx|Premature mortality", US_national_yearly!$D:$AM, 10, FALSE), 1)</f>
        <v>2.0956006933487909E-4</v>
      </c>
      <c r="G2" s="7">
        <f>$B2 * IFERROR(VLOOKUP("LULUCF|NOx|Premature mortality", US_national_yearly!$D:$AM, 15, FALSE) / VLOOKUP("LULUCF|NOx|Premature mortality", US_national_yearly!$D:$AM, 10, FALSE), 1)</f>
        <v>2.147822164537995E-4</v>
      </c>
      <c r="H2" s="7">
        <f>$B2 * IFERROR(VLOOKUP("LULUCF|NOx|Premature mortality", US_national_yearly!$D:$AM, 16, FALSE) / VLOOKUP("LULUCF|NOx|Premature mortality", US_national_yearly!$D:$AM, 10, FALSE), 1)</f>
        <v>2.2000436357271999E-4</v>
      </c>
      <c r="I2" s="7">
        <f>$B2 * IFERROR(VLOOKUP("LULUCF|NOx|Premature mortality", US_national_yearly!$D:$AM, 17, FALSE) / VLOOKUP("LULUCF|NOx|Premature mortality", US_national_yearly!$D:$AM, 10, FALSE), 1)</f>
        <v>2.2337535859498573E-4</v>
      </c>
      <c r="J2" s="7">
        <f>$B2 * IFERROR(VLOOKUP("LULUCF|NOx|Premature mortality", US_national_yearly!$D:$AM, 18, FALSE) / VLOOKUP("LULUCF|NOx|Premature mortality", US_national_yearly!$D:$AM, 10, FALSE), 1)</f>
        <v>2.267463536172515E-4</v>
      </c>
      <c r="K2" s="7">
        <f>$B2 * IFERROR(VLOOKUP("LULUCF|NOx|Premature mortality", US_national_yearly!$D:$AM, 19, FALSE) / VLOOKUP("LULUCF|NOx|Premature mortality", US_national_yearly!$D:$AM, 10, FALSE), 1)</f>
        <v>2.3011734863951722E-4</v>
      </c>
      <c r="L2" s="7">
        <f>$B2 * IFERROR(VLOOKUP("LULUCF|NOx|Premature mortality", US_national_yearly!$D:$AM, 20, FALSE) / VLOOKUP("LULUCF|NOx|Premature mortality", US_national_yearly!$D:$AM, 10, FALSE), 1)</f>
        <v>2.3348834366178296E-4</v>
      </c>
      <c r="M2" s="7">
        <f>$B2 * IFERROR(VLOOKUP("LULUCF|NOx|Premature mortality", US_national_yearly!$D:$AM, 21, FALSE) / VLOOKUP("LULUCF|NOx|Premature mortality", US_national_yearly!$D:$AM, 10, FALSE), 1)</f>
        <v>2.3685933868404873E-4</v>
      </c>
      <c r="N2" s="7">
        <f>$B2 * IFERROR(VLOOKUP("LULUCF|NOx|Premature mortality", US_national_yearly!$D:$AM, 22, FALSE) / VLOOKUP("LULUCF|NOx|Premature mortality", US_national_yearly!$D:$AM, 10, FALSE), 1)</f>
        <v>2.3935655869165273E-4</v>
      </c>
      <c r="O2" s="7">
        <f>$B2 * IFERROR(VLOOKUP("LULUCF|NOx|Premature mortality", US_national_yearly!$D:$AM, 23, FALSE) / VLOOKUP("LULUCF|NOx|Premature mortality", US_national_yearly!$D:$AM, 10, FALSE), 1)</f>
        <v>2.4185377869925673E-4</v>
      </c>
      <c r="P2" s="7">
        <f>$B2 * IFERROR(VLOOKUP("LULUCF|NOx|Premature mortality", US_national_yearly!$D:$AM, 24, FALSE) / VLOOKUP("LULUCF|NOx|Premature mortality", US_national_yearly!$D:$AM, 10, FALSE), 1)</f>
        <v>2.443509987068607E-4</v>
      </c>
      <c r="Q2" s="7">
        <f>$B2 * IFERROR(VLOOKUP("LULUCF|NOx|Premature mortality", US_national_yearly!$D:$AM, 25, FALSE) / VLOOKUP("LULUCF|NOx|Premature mortality", US_national_yearly!$D:$AM, 10, FALSE), 1)</f>
        <v>2.4684821871446476E-4</v>
      </c>
      <c r="R2" s="7">
        <f>$B2 * IFERROR(VLOOKUP("LULUCF|NOx|Premature mortality", US_national_yearly!$D:$AM, 26, FALSE) / VLOOKUP("LULUCF|NOx|Premature mortality", US_national_yearly!$D:$AM, 10, FALSE), 1)</f>
        <v>2.4934543872206876E-4</v>
      </c>
      <c r="S2" s="7">
        <f>$B2 * IFERROR(VLOOKUP("LULUCF|NOx|Premature mortality", US_national_yearly!$D:$AM, 27, FALSE) / VLOOKUP("LULUCF|NOx|Premature mortality", US_national_yearly!$D:$AM, 10, FALSE), 1)</f>
        <v>2.5048045036219608E-4</v>
      </c>
      <c r="T2" s="7">
        <f>$B2 * IFERROR(VLOOKUP("LULUCF|NOx|Premature mortality", US_national_yearly!$D:$AM, 28, FALSE) / VLOOKUP("LULUCF|NOx|Premature mortality", US_national_yearly!$D:$AM, 10, FALSE), 1)</f>
        <v>2.5161546200232345E-4</v>
      </c>
      <c r="U2" s="7">
        <f>$B2 * IFERROR(VLOOKUP("LULUCF|NOx|Premature mortality", US_national_yearly!$D:$AM, 29, FALSE) / VLOOKUP("LULUCF|NOx|Premature mortality", US_national_yearly!$D:$AM, 10, FALSE), 1)</f>
        <v>2.5275047364245077E-4</v>
      </c>
      <c r="V2" s="7">
        <f>$B2 * IFERROR(VLOOKUP("LULUCF|NOx|Premature mortality", US_national_yearly!$D:$AM, 30, FALSE) / VLOOKUP("LULUCF|NOx|Premature mortality", US_national_yearly!$D:$AM, 10, FALSE), 1)</f>
        <v>2.5388548528257809E-4</v>
      </c>
      <c r="W2" s="7">
        <f>$B2 * IFERROR(VLOOKUP("LULUCF|NOx|Premature mortality", US_national_yearly!$D:$AM, 31, FALSE) / VLOOKUP("LULUCF|NOx|Premature mortality", US_national_yearly!$D:$AM, 10, FALSE), 1)</f>
        <v>2.5502049692270541E-4</v>
      </c>
      <c r="X2" s="7">
        <f>$B2 * IFERROR(VLOOKUP("LULUCF|NOx|Premature mortality", US_national_yearly!$D:$AM, 32, FALSE) / VLOOKUP("LULUCF|NOx|Premature mortality", US_national_yearly!$D:$AM, 10, FALSE), 1)</f>
        <v>2.5505981307441755E-4</v>
      </c>
      <c r="Y2" s="7">
        <f>$B2 * IFERROR(VLOOKUP("LULUCF|NOx|Premature mortality", US_national_yearly!$D:$AM, 33, FALSE) / VLOOKUP("LULUCF|NOx|Premature mortality", US_national_yearly!$D:$AM, 10, FALSE), 1)</f>
        <v>2.5509912922612969E-4</v>
      </c>
      <c r="Z2" s="7">
        <f>$B2 * IFERROR(VLOOKUP("LULUCF|NOx|Premature mortality", US_national_yearly!$D:$AM, 34, FALSE) / VLOOKUP("LULUCF|NOx|Premature mortality", US_national_yearly!$D:$AM, 10, FALSE), 1)</f>
        <v>2.5513844537784173E-4</v>
      </c>
      <c r="AA2" s="7">
        <f>$B2 * IFERROR(VLOOKUP("LULUCF|NOx|Premature mortality", US_national_yearly!$D:$AM, 35, FALSE) / VLOOKUP("LULUCF|NOx|Premature mortality", US_national_yearly!$D:$AM, 10, FALSE), 1)</f>
        <v>2.5517776152955392E-4</v>
      </c>
      <c r="AB2" s="7">
        <f>$B2 * IFERROR(VLOOKUP("LULUCF|NOx|Premature mortality", US_national_yearly!$D:$AM, 36, FALSE) / VLOOKUP("LULUCF|NOx|Premature mortality", US_national_yearly!$D:$AM, 10, FALSE), 1)</f>
        <v>2.5521707768126606E-4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4.6831861421919905E-7</v>
      </c>
      <c r="C3" s="7">
        <f>$B3 * IFERROR(VLOOKUP("LULUCF|NOx|Infant mortality", US_national_yearly!$D:$AM, 11, FALSE) / VLOOKUP("LULUCF|NOx|Infant mortality", US_national_yearly!$D:$AM, 10, FALSE), 1)</f>
        <v>4.6385668606682896E-7</v>
      </c>
      <c r="D3" s="7">
        <f>$B3 * IFERROR(VLOOKUP("LULUCF|NOx|Infant mortality", US_national_yearly!$D:$AM, 12, FALSE) / VLOOKUP("LULUCF|NOx|Infant mortality", US_national_yearly!$D:$AM, 10, FALSE), 1)</f>
        <v>4.5939475791445882E-7</v>
      </c>
      <c r="E3" s="7">
        <f>$B3 * IFERROR(VLOOKUP("LULUCF|NOx|Infant mortality", US_national_yearly!$D:$AM, 13, FALSE) / VLOOKUP("LULUCF|NOx|Infant mortality", US_national_yearly!$D:$AM, 10, FALSE), 1)</f>
        <v>4.5493282976208873E-7</v>
      </c>
      <c r="F3" s="7">
        <f>$B3 * IFERROR(VLOOKUP("LULUCF|NOx|Infant mortality", US_national_yearly!$D:$AM, 14, FALSE) / VLOOKUP("LULUCF|NOx|Infant mortality", US_national_yearly!$D:$AM, 10, FALSE), 1)</f>
        <v>4.5047090160971864E-7</v>
      </c>
      <c r="G3" s="7">
        <f>$B3 * IFERROR(VLOOKUP("LULUCF|NOx|Infant mortality", US_national_yearly!$D:$AM, 15, FALSE) / VLOOKUP("LULUCF|NOx|Infant mortality", US_national_yearly!$D:$AM, 10, FALSE), 1)</f>
        <v>2.9904482918430527E-7</v>
      </c>
      <c r="H3" s="7">
        <f>$B3 * IFERROR(VLOOKUP("LULUCF|NOx|Infant mortality", US_national_yearly!$D:$AM, 16, FALSE) / VLOOKUP("LULUCF|NOx|Infant mortality", US_national_yearly!$D:$AM, 10, FALSE), 1)</f>
        <v>1.4761875675889192E-7</v>
      </c>
      <c r="I3" s="7">
        <f>$B3 * IFERROR(VLOOKUP("LULUCF|NOx|Infant mortality", US_national_yearly!$D:$AM, 17, FALSE) / VLOOKUP("LULUCF|NOx|Infant mortality", US_national_yearly!$D:$AM, 10, FALSE), 1)</f>
        <v>1.4657495120164324E-7</v>
      </c>
      <c r="J3" s="7">
        <f>$B3 * IFERROR(VLOOKUP("LULUCF|NOx|Infant mortality", US_national_yearly!$D:$AM, 18, FALSE) / VLOOKUP("LULUCF|NOx|Infant mortality", US_national_yearly!$D:$AM, 10, FALSE), 1)</f>
        <v>1.4553114564439456E-7</v>
      </c>
      <c r="K3" s="7">
        <f>$B3 * IFERROR(VLOOKUP("LULUCF|NOx|Infant mortality", US_national_yearly!$D:$AM, 19, FALSE) / VLOOKUP("LULUCF|NOx|Infant mortality", US_national_yearly!$D:$AM, 10, FALSE), 1)</f>
        <v>1.4448734008714588E-7</v>
      </c>
      <c r="L3" s="7">
        <f>$B3 * IFERROR(VLOOKUP("LULUCF|NOx|Infant mortality", US_national_yearly!$D:$AM, 20, FALSE) / VLOOKUP("LULUCF|NOx|Infant mortality", US_national_yearly!$D:$AM, 10, FALSE), 1)</f>
        <v>1.4344353452989722E-7</v>
      </c>
      <c r="M3" s="7">
        <f>$B3 * IFERROR(VLOOKUP("LULUCF|NOx|Infant mortality", US_national_yearly!$D:$AM, 21, FALSE) / VLOOKUP("LULUCF|NOx|Infant mortality", US_national_yearly!$D:$AM, 10, FALSE), 1)</f>
        <v>1.4239972897264851E-7</v>
      </c>
      <c r="N3" s="7">
        <f>$B3 * IFERROR(VLOOKUP("LULUCF|NOx|Infant mortality", US_national_yearly!$D:$AM, 22, FALSE) / VLOOKUP("LULUCF|NOx|Infant mortality", US_national_yearly!$D:$AM, 10, FALSE), 1)</f>
        <v>1.4170689448785066E-7</v>
      </c>
      <c r="O3" s="7">
        <f>$B3 * IFERROR(VLOOKUP("LULUCF|NOx|Infant mortality", US_national_yearly!$D:$AM, 23, FALSE) / VLOOKUP("LULUCF|NOx|Infant mortality", US_national_yearly!$D:$AM, 10, FALSE), 1)</f>
        <v>1.4101406000305279E-7</v>
      </c>
      <c r="P3" s="7">
        <f>$B3 * IFERROR(VLOOKUP("LULUCF|NOx|Infant mortality", US_national_yearly!$D:$AM, 24, FALSE) / VLOOKUP("LULUCF|NOx|Infant mortality", US_national_yearly!$D:$AM, 10, FALSE), 1)</f>
        <v>1.4032122551825494E-7</v>
      </c>
      <c r="Q3" s="7">
        <f>$B3 * IFERROR(VLOOKUP("LULUCF|NOx|Infant mortality", US_national_yearly!$D:$AM, 25, FALSE) / VLOOKUP("LULUCF|NOx|Infant mortality", US_national_yearly!$D:$AM, 10, FALSE), 1)</f>
        <v>1.3962839103345709E-7</v>
      </c>
      <c r="R3" s="7">
        <f>$B3 * IFERROR(VLOOKUP("LULUCF|NOx|Infant mortality", US_national_yearly!$D:$AM, 26, FALSE) / VLOOKUP("LULUCF|NOx|Infant mortality", US_national_yearly!$D:$AM, 10, FALSE), 1)</f>
        <v>1.3893555654865921E-7</v>
      </c>
      <c r="S3" s="7">
        <f>$B3 * IFERROR(VLOOKUP("LULUCF|NOx|Infant mortality", US_national_yearly!$D:$AM, 27, FALSE) / VLOOKUP("LULUCF|NOx|Infant mortality", US_national_yearly!$D:$AM, 10, FALSE), 1)</f>
        <v>1.3810265932074182E-7</v>
      </c>
      <c r="T3" s="7">
        <f>$B3 * IFERROR(VLOOKUP("LULUCF|NOx|Infant mortality", US_national_yearly!$D:$AM, 28, FALSE) / VLOOKUP("LULUCF|NOx|Infant mortality", US_national_yearly!$D:$AM, 10, FALSE), 1)</f>
        <v>1.372697620928244E-7</v>
      </c>
      <c r="U3" s="7">
        <f>$B3 * IFERROR(VLOOKUP("LULUCF|NOx|Infant mortality", US_national_yearly!$D:$AM, 29, FALSE) / VLOOKUP("LULUCF|NOx|Infant mortality", US_national_yearly!$D:$AM, 10, FALSE), 1)</f>
        <v>1.3643686486490699E-7</v>
      </c>
      <c r="V3" s="7">
        <f>$B3 * IFERROR(VLOOKUP("LULUCF|NOx|Infant mortality", US_national_yearly!$D:$AM, 30, FALSE) / VLOOKUP("LULUCF|NOx|Infant mortality", US_national_yearly!$D:$AM, 10, FALSE), 1)</f>
        <v>1.3560396763698957E-7</v>
      </c>
      <c r="W3" s="7">
        <f>$B3 * IFERROR(VLOOKUP("LULUCF|NOx|Infant mortality", US_national_yearly!$D:$AM, 31, FALSE) / VLOOKUP("LULUCF|NOx|Infant mortality", US_national_yearly!$D:$AM, 10, FALSE), 1)</f>
        <v>1.3477107040907218E-7</v>
      </c>
      <c r="X3" s="7">
        <f>$B3 * IFERROR(VLOOKUP("LULUCF|NOx|Infant mortality", US_national_yearly!$D:$AM, 32, FALSE) / VLOOKUP("LULUCF|NOx|Infant mortality", US_national_yearly!$D:$AM, 10, FALSE), 1)</f>
        <v>1.338889919674416E-7</v>
      </c>
      <c r="Y3" s="7">
        <f>$B3 * IFERROR(VLOOKUP("LULUCF|NOx|Infant mortality", US_national_yearly!$D:$AM, 33, FALSE) / VLOOKUP("LULUCF|NOx|Infant mortality", US_national_yearly!$D:$AM, 10, FALSE), 1)</f>
        <v>1.33006913525811E-7</v>
      </c>
      <c r="Z3" s="7">
        <f>$B3 * IFERROR(VLOOKUP("LULUCF|NOx|Infant mortality", US_national_yearly!$D:$AM, 34, FALSE) / VLOOKUP("LULUCF|NOx|Infant mortality", US_national_yearly!$D:$AM, 10, FALSE), 1)</f>
        <v>1.3212483508418039E-7</v>
      </c>
      <c r="AA3" s="7">
        <f>$B3 * IFERROR(VLOOKUP("LULUCF|NOx|Infant mortality", US_national_yearly!$D:$AM, 35, FALSE) / VLOOKUP("LULUCF|NOx|Infant mortality", US_national_yearly!$D:$AM, 10, FALSE), 1)</f>
        <v>1.3124275664254979E-7</v>
      </c>
      <c r="AB3" s="7">
        <f>$B3 * IFERROR(VLOOKUP("LULUCF|NOx|Infant mortality", US_national_yearly!$D:$AM, 36, FALSE) / VLOOKUP("LULUCF|NOx|Infant mortality", US_national_yearly!$D:$AM, 10, FALSE), 1)</f>
        <v>1.3036067820091921E-7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4.4543618051019447E-4</v>
      </c>
      <c r="C6" s="7">
        <f>$B6 * IFERROR(VLOOKUP("LULUCF|NOx|Asthma symptoms cough", US_national_yearly!$D:$AM, 11, FALSE) / VLOOKUP("LULUCF|NOx|Asthma symptoms cough", US_national_yearly!$D:$AM, 10, FALSE), 1)</f>
        <v>4.515260213570961E-4</v>
      </c>
      <c r="D6" s="7">
        <f>$B6 * IFERROR(VLOOKUP("LULUCF|NOx|Asthma symptoms cough", US_national_yearly!$D:$AM, 12, FALSE) / VLOOKUP("LULUCF|NOx|Asthma symptoms cough", US_national_yearly!$D:$AM, 10, FALSE), 1)</f>
        <v>4.5761586220399768E-4</v>
      </c>
      <c r="E6" s="7">
        <f>$B6 * IFERROR(VLOOKUP("LULUCF|NOx|Asthma symptoms cough", US_national_yearly!$D:$AM, 13, FALSE) / VLOOKUP("LULUCF|NOx|Asthma symptoms cough", US_national_yearly!$D:$AM, 10, FALSE), 1)</f>
        <v>4.6370570305089931E-4</v>
      </c>
      <c r="F6" s="7">
        <f>$B6 * IFERROR(VLOOKUP("LULUCF|NOx|Asthma symptoms cough", US_national_yearly!$D:$AM, 14, FALSE) / VLOOKUP("LULUCF|NOx|Asthma symptoms cough", US_national_yearly!$D:$AM, 10, FALSE), 1)</f>
        <v>4.6979554389780089E-4</v>
      </c>
      <c r="G6" s="7">
        <f>$B6 * IFERROR(VLOOKUP("LULUCF|NOx|Asthma symptoms cough", US_national_yearly!$D:$AM, 15, FALSE) / VLOOKUP("LULUCF|NOx|Asthma symptoms cough", US_national_yearly!$D:$AM, 10, FALSE), 1)</f>
        <v>4.7465743081628653E-4</v>
      </c>
      <c r="H6" s="7">
        <f>$B6 * IFERROR(VLOOKUP("LULUCF|NOx|Asthma symptoms cough", US_national_yearly!$D:$AM, 16, FALSE) / VLOOKUP("LULUCF|NOx|Asthma symptoms cough", US_national_yearly!$D:$AM, 10, FALSE), 1)</f>
        <v>4.7951931773477228E-4</v>
      </c>
      <c r="I6" s="7">
        <f>$B6 * IFERROR(VLOOKUP("LULUCF|NOx|Asthma symptoms cough", US_national_yearly!$D:$AM, 17, FALSE) / VLOOKUP("LULUCF|NOx|Asthma symptoms cough", US_national_yearly!$D:$AM, 10, FALSE), 1)</f>
        <v>4.8119270970778871E-4</v>
      </c>
      <c r="J6" s="7">
        <f>$B6 * IFERROR(VLOOKUP("LULUCF|NOx|Asthma symptoms cough", US_national_yearly!$D:$AM, 18, FALSE) / VLOOKUP("LULUCF|NOx|Asthma symptoms cough", US_national_yearly!$D:$AM, 10, FALSE), 1)</f>
        <v>4.828661016808053E-4</v>
      </c>
      <c r="K6" s="7">
        <f>$B6 * IFERROR(VLOOKUP("LULUCF|NOx|Asthma symptoms cough", US_national_yearly!$D:$AM, 19, FALSE) / VLOOKUP("LULUCF|NOx|Asthma symptoms cough", US_national_yearly!$D:$AM, 10, FALSE), 1)</f>
        <v>4.8453949365382174E-4</v>
      </c>
      <c r="L6" s="7">
        <f>$B6 * IFERROR(VLOOKUP("LULUCF|NOx|Asthma symptoms cough", US_national_yearly!$D:$AM, 20, FALSE) / VLOOKUP("LULUCF|NOx|Asthma symptoms cough", US_national_yearly!$D:$AM, 10, FALSE), 1)</f>
        <v>4.8621288562683822E-4</v>
      </c>
      <c r="M6" s="7">
        <f>$B6 * IFERROR(VLOOKUP("LULUCF|NOx|Asthma symptoms cough", US_national_yearly!$D:$AM, 21, FALSE) / VLOOKUP("LULUCF|NOx|Asthma symptoms cough", US_national_yearly!$D:$AM, 10, FALSE), 1)</f>
        <v>4.8788627759985476E-4</v>
      </c>
      <c r="N6" s="7">
        <f>$B6 * IFERROR(VLOOKUP("LULUCF|NOx|Asthma symptoms cough", US_national_yearly!$D:$AM, 22, FALSE) / VLOOKUP("LULUCF|NOx|Asthma symptoms cough", US_national_yearly!$D:$AM, 10, FALSE), 1)</f>
        <v>4.8982670020549868E-4</v>
      </c>
      <c r="O6" s="7">
        <f>$B6 * IFERROR(VLOOKUP("LULUCF|NOx|Asthma symptoms cough", US_national_yearly!$D:$AM, 23, FALSE) / VLOOKUP("LULUCF|NOx|Asthma symptoms cough", US_national_yearly!$D:$AM, 10, FALSE), 1)</f>
        <v>4.9176712281114249E-4</v>
      </c>
      <c r="P6" s="7">
        <f>$B6 * IFERROR(VLOOKUP("LULUCF|NOx|Asthma symptoms cough", US_national_yearly!$D:$AM, 24, FALSE) / VLOOKUP("LULUCF|NOx|Asthma symptoms cough", US_national_yearly!$D:$AM, 10, FALSE), 1)</f>
        <v>4.937075454167863E-4</v>
      </c>
      <c r="Q6" s="7">
        <f>$B6 * IFERROR(VLOOKUP("LULUCF|NOx|Asthma symptoms cough", US_national_yearly!$D:$AM, 25, FALSE) / VLOOKUP("LULUCF|NOx|Asthma symptoms cough", US_national_yearly!$D:$AM, 10, FALSE), 1)</f>
        <v>4.9564796802243022E-4</v>
      </c>
      <c r="R6" s="7">
        <f>$B6 * IFERROR(VLOOKUP("LULUCF|NOx|Asthma symptoms cough", US_national_yearly!$D:$AM, 26, FALSE) / VLOOKUP("LULUCF|NOx|Asthma symptoms cough", US_national_yearly!$D:$AM, 10, FALSE), 1)</f>
        <v>4.9758839062807414E-4</v>
      </c>
      <c r="S6" s="7">
        <f>$B6 * IFERROR(VLOOKUP("LULUCF|NOx|Asthma symptoms cough", US_national_yearly!$D:$AM, 27, FALSE) / VLOOKUP("LULUCF|NOx|Asthma symptoms cough", US_national_yearly!$D:$AM, 10, FALSE), 1)</f>
        <v>5.0012320057106539E-4</v>
      </c>
      <c r="T6" s="7">
        <f>$B6 * IFERROR(VLOOKUP("LULUCF|NOx|Asthma symptoms cough", US_national_yearly!$D:$AM, 28, FALSE) / VLOOKUP("LULUCF|NOx|Asthma symptoms cough", US_national_yearly!$D:$AM, 10, FALSE), 1)</f>
        <v>5.0265801051405665E-4</v>
      </c>
      <c r="U6" s="7">
        <f>$B6 * IFERROR(VLOOKUP("LULUCF|NOx|Asthma symptoms cough", US_national_yearly!$D:$AM, 29, FALSE) / VLOOKUP("LULUCF|NOx|Asthma symptoms cough", US_national_yearly!$D:$AM, 10, FALSE), 1)</f>
        <v>5.0519282045704769E-4</v>
      </c>
      <c r="V6" s="7">
        <f>$B6 * IFERROR(VLOOKUP("LULUCF|NOx|Asthma symptoms cough", US_national_yearly!$D:$AM, 30, FALSE) / VLOOKUP("LULUCF|NOx|Asthma symptoms cough", US_national_yearly!$D:$AM, 10, FALSE), 1)</f>
        <v>5.0772763040003905E-4</v>
      </c>
      <c r="W6" s="7">
        <f>$B6 * IFERROR(VLOOKUP("LULUCF|NOx|Asthma symptoms cough", US_national_yearly!$D:$AM, 31, FALSE) / VLOOKUP("LULUCF|NOx|Asthma symptoms cough", US_national_yearly!$D:$AM, 10, FALSE), 1)</f>
        <v>5.102624403430302E-4</v>
      </c>
      <c r="X6" s="7">
        <f>$B6 * IFERROR(VLOOKUP("LULUCF|NOx|Asthma symptoms cough", US_national_yearly!$D:$AM, 32, FALSE) / VLOOKUP("LULUCF|NOx|Asthma symptoms cough", US_national_yearly!$D:$AM, 10, FALSE), 1)</f>
        <v>5.1261764299562402E-4</v>
      </c>
      <c r="Y6" s="7">
        <f>$B6 * IFERROR(VLOOKUP("LULUCF|NOx|Asthma symptoms cough", US_national_yearly!$D:$AM, 33, FALSE) / VLOOKUP("LULUCF|NOx|Asthma symptoms cough", US_national_yearly!$D:$AM, 10, FALSE), 1)</f>
        <v>5.1497284564821783E-4</v>
      </c>
      <c r="Z6" s="7">
        <f>$B6 * IFERROR(VLOOKUP("LULUCF|NOx|Asthma symptoms cough", US_national_yearly!$D:$AM, 34, FALSE) / VLOOKUP("LULUCF|NOx|Asthma symptoms cough", US_national_yearly!$D:$AM, 10, FALSE), 1)</f>
        <v>5.1732804830081154E-4</v>
      </c>
      <c r="AA6" s="7">
        <f>$B6 * IFERROR(VLOOKUP("LULUCF|NOx|Asthma symptoms cough", US_national_yearly!$D:$AM, 35, FALSE) / VLOOKUP("LULUCF|NOx|Asthma symptoms cough", US_national_yearly!$D:$AM, 10, FALSE), 1)</f>
        <v>5.1968325095340536E-4</v>
      </c>
      <c r="AB6" s="7">
        <f>$B6 * IFERROR(VLOOKUP("LULUCF|NOx|Asthma symptoms cough", US_national_yearly!$D:$AM, 36, FALSE) / VLOOKUP("LULUCF|NOx|Asthma symptoms cough", US_national_yearly!$D:$AM, 10, FALSE), 1)</f>
        <v>5.2203845360599928E-4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5.998432534596584E-4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6.0804409143293487E-4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6.1624492940621123E-4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6.244457673794877E-4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6.3264660535276428E-4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6.391938284790533E-4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6.4574105160534231E-4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6.4799451219671781E-4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6.5024797278809331E-4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6.5250143337946881E-4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6.547548939708442E-4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6.5700835456221969E-4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6.5962140993582248E-4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6.6223446530942537E-4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6.6484752068302804E-4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6.6746057605663082E-4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6.7007363143023371E-4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6.7348711400969433E-4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6.7690059658915517E-4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6.803140791686159E-4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6.8372756174807652E-4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6.8714104432753725E-4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6.9031266010988039E-4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6.9348427589222353E-4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6.9665589167456677E-4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6.9982750745690991E-4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7.0299912323925316E-4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9.1646310693587786E-4</v>
      </c>
      <c r="C8" s="7">
        <f>$B8 * IFERROR(VLOOKUP("LULUCF|NOx|Asthma symptoms wheeze", US_national_yearly!$D:$AM, 11, FALSE) / VLOOKUP("LULUCF|NOx|Asthma symptoms wheeze", US_national_yearly!$D:$AM, 10, FALSE), 1)</f>
        <v>9.2899265598283675E-4</v>
      </c>
      <c r="D8" s="7">
        <f>$B8 * IFERROR(VLOOKUP("LULUCF|NOx|Asthma symptoms wheeze", US_national_yearly!$D:$AM, 12, FALSE) / VLOOKUP("LULUCF|NOx|Asthma symptoms wheeze", US_national_yearly!$D:$AM, 10, FALSE), 1)</f>
        <v>9.4152220502979618E-4</v>
      </c>
      <c r="E8" s="7">
        <f>$B8 * IFERROR(VLOOKUP("LULUCF|NOx|Asthma symptoms wheeze", US_national_yearly!$D:$AM, 13, FALSE) / VLOOKUP("LULUCF|NOx|Asthma symptoms wheeze", US_national_yearly!$D:$AM, 10, FALSE), 1)</f>
        <v>9.5405175407675506E-4</v>
      </c>
      <c r="F8" s="7">
        <f>$B8 * IFERROR(VLOOKUP("LULUCF|NOx|Asthma symptoms wheeze", US_national_yearly!$D:$AM, 14, FALSE) / VLOOKUP("LULUCF|NOx|Asthma symptoms wheeze", US_national_yearly!$D:$AM, 10, FALSE), 1)</f>
        <v>9.6658130312371395E-4</v>
      </c>
      <c r="G8" s="7">
        <f>$B8 * IFERROR(VLOOKUP("LULUCF|NOx|Asthma symptoms wheeze", US_national_yearly!$D:$AM, 15, FALSE) / VLOOKUP("LULUCF|NOx|Asthma symptoms wheeze", US_national_yearly!$D:$AM, 10, FALSE), 1)</f>
        <v>9.7658439715897277E-4</v>
      </c>
      <c r="H8" s="7">
        <f>$B8 * IFERROR(VLOOKUP("LULUCF|NOx|Asthma symptoms wheeze", US_national_yearly!$D:$AM, 16, FALSE) / VLOOKUP("LULUCF|NOx|Asthma symptoms wheeze", US_national_yearly!$D:$AM, 10, FALSE), 1)</f>
        <v>9.8658749119423148E-4</v>
      </c>
      <c r="I8" s="7">
        <f>$B8 * IFERROR(VLOOKUP("LULUCF|NOx|Asthma symptoms wheeze", US_national_yearly!$D:$AM, 17, FALSE) / VLOOKUP("LULUCF|NOx|Asthma symptoms wheeze", US_national_yearly!$D:$AM, 10, FALSE), 1)</f>
        <v>9.9003041317213846E-4</v>
      </c>
      <c r="J8" s="7">
        <f>$B8 * IFERROR(VLOOKUP("LULUCF|NOx|Asthma symptoms wheeze", US_national_yearly!$D:$AM, 18, FALSE) / VLOOKUP("LULUCF|NOx|Asthma symptoms wheeze", US_national_yearly!$D:$AM, 10, FALSE), 1)</f>
        <v>9.9347333515004588E-4</v>
      </c>
      <c r="K8" s="7">
        <f>$B8 * IFERROR(VLOOKUP("LULUCF|NOx|Asthma symptoms wheeze", US_national_yearly!$D:$AM, 19, FALSE) / VLOOKUP("LULUCF|NOx|Asthma symptoms wheeze", US_national_yearly!$D:$AM, 10, FALSE), 1)</f>
        <v>9.9691625712795265E-4</v>
      </c>
      <c r="L8" s="7">
        <f>$B8 * IFERROR(VLOOKUP("LULUCF|NOx|Asthma symptoms wheeze", US_national_yearly!$D:$AM, 20, FALSE) / VLOOKUP("LULUCF|NOx|Asthma symptoms wheeze", US_national_yearly!$D:$AM, 10, FALSE), 1)</f>
        <v>1.0003591791058601E-3</v>
      </c>
      <c r="M8" s="7">
        <f>$B8 * IFERROR(VLOOKUP("LULUCF|NOx|Asthma symptoms wheeze", US_national_yearly!$D:$AM, 21, FALSE) / VLOOKUP("LULUCF|NOx|Asthma symptoms wheeze", US_national_yearly!$D:$AM, 10, FALSE), 1)</f>
        <v>1.003802101083767E-3</v>
      </c>
      <c r="N8" s="7">
        <f>$B8 * IFERROR(VLOOKUP("LULUCF|NOx|Asthma symptoms wheeze", US_national_yearly!$D:$AM, 22, FALSE) / VLOOKUP("LULUCF|NOx|Asthma symptoms wheeze", US_national_yearly!$D:$AM, 10, FALSE), 1)</f>
        <v>1.0077944255037425E-3</v>
      </c>
      <c r="O8" s="7">
        <f>$B8 * IFERROR(VLOOKUP("LULUCF|NOx|Asthma symptoms wheeze", US_national_yearly!$D:$AM, 23, FALSE) / VLOOKUP("LULUCF|NOx|Asthma symptoms wheeze", US_national_yearly!$D:$AM, 10, FALSE), 1)</f>
        <v>1.0117867499237182E-3</v>
      </c>
      <c r="P8" s="7">
        <f>$B8 * IFERROR(VLOOKUP("LULUCF|NOx|Asthma symptoms wheeze", US_national_yearly!$D:$AM, 24, FALSE) / VLOOKUP("LULUCF|NOx|Asthma symptoms wheeze", US_national_yearly!$D:$AM, 10, FALSE), 1)</f>
        <v>1.0157790743436934E-3</v>
      </c>
      <c r="Q8" s="7">
        <f>$B8 * IFERROR(VLOOKUP("LULUCF|NOx|Asthma symptoms wheeze", US_national_yearly!$D:$AM, 25, FALSE) / VLOOKUP("LULUCF|NOx|Asthma symptoms wheeze", US_national_yearly!$D:$AM, 10, FALSE), 1)</f>
        <v>1.019771398763669E-3</v>
      </c>
      <c r="R8" s="7">
        <f>$B8 * IFERROR(VLOOKUP("LULUCF|NOx|Asthma symptoms wheeze", US_national_yearly!$D:$AM, 26, FALSE) / VLOOKUP("LULUCF|NOx|Asthma symptoms wheeze", US_national_yearly!$D:$AM, 10, FALSE), 1)</f>
        <v>1.0237637231836445E-3</v>
      </c>
      <c r="S8" s="7">
        <f>$B8 * IFERROR(VLOOKUP("LULUCF|NOx|Asthma symptoms wheeze", US_national_yearly!$D:$AM, 27, FALSE) / VLOOKUP("LULUCF|NOx|Asthma symptoms wheeze", US_national_yearly!$D:$AM, 10, FALSE), 1)</f>
        <v>1.0289789704189486E-3</v>
      </c>
      <c r="T8" s="7">
        <f>$B8 * IFERROR(VLOOKUP("LULUCF|NOx|Asthma symptoms wheeze", US_national_yearly!$D:$AM, 28, FALSE) / VLOOKUP("LULUCF|NOx|Asthma symptoms wheeze", US_national_yearly!$D:$AM, 10, FALSE), 1)</f>
        <v>1.0341942176542527E-3</v>
      </c>
      <c r="U8" s="7">
        <f>$B8 * IFERROR(VLOOKUP("LULUCF|NOx|Asthma symptoms wheeze", US_national_yearly!$D:$AM, 29, FALSE) / VLOOKUP("LULUCF|NOx|Asthma symptoms wheeze", US_national_yearly!$D:$AM, 10, FALSE), 1)</f>
        <v>1.0394094648895568E-3</v>
      </c>
      <c r="V8" s="7">
        <f>$B8 * IFERROR(VLOOKUP("LULUCF|NOx|Asthma symptoms wheeze", US_national_yearly!$D:$AM, 30, FALSE) / VLOOKUP("LULUCF|NOx|Asthma symptoms wheeze", US_national_yearly!$D:$AM, 10, FALSE), 1)</f>
        <v>1.0446247121248613E-3</v>
      </c>
      <c r="W8" s="7">
        <f>$B8 * IFERROR(VLOOKUP("LULUCF|NOx|Asthma symptoms wheeze", US_national_yearly!$D:$AM, 31, FALSE) / VLOOKUP("LULUCF|NOx|Asthma symptoms wheeze", US_national_yearly!$D:$AM, 10, FALSE), 1)</f>
        <v>1.0498399593601652E-3</v>
      </c>
      <c r="X8" s="7">
        <f>$B8 * IFERROR(VLOOKUP("LULUCF|NOx|Asthma symptoms wheeze", US_national_yearly!$D:$AM, 32, FALSE) / VLOOKUP("LULUCF|NOx|Asthma symptoms wheeze", US_national_yearly!$D:$AM, 10, FALSE), 1)</f>
        <v>1.0546856733957717E-3</v>
      </c>
      <c r="Y8" s="7">
        <f>$B8 * IFERROR(VLOOKUP("LULUCF|NOx|Asthma symptoms wheeze", US_national_yearly!$D:$AM, 33, FALSE) / VLOOKUP("LULUCF|NOx|Asthma symptoms wheeze", US_national_yearly!$D:$AM, 10, FALSE), 1)</f>
        <v>1.0595313874313781E-3</v>
      </c>
      <c r="Z8" s="7">
        <f>$B8 * IFERROR(VLOOKUP("LULUCF|NOx|Asthma symptoms wheeze", US_national_yearly!$D:$AM, 34, FALSE) / VLOOKUP("LULUCF|NOx|Asthma symptoms wheeze", US_national_yearly!$D:$AM, 10, FALSE), 1)</f>
        <v>1.0643771014669848E-3</v>
      </c>
      <c r="AA8" s="7">
        <f>$B8 * IFERROR(VLOOKUP("LULUCF|NOx|Asthma symptoms wheeze", US_national_yearly!$D:$AM, 35, FALSE) / VLOOKUP("LULUCF|NOx|Asthma symptoms wheeze", US_national_yearly!$D:$AM, 10, FALSE), 1)</f>
        <v>1.0692228155025911E-3</v>
      </c>
      <c r="AB8" s="7">
        <f>$B8 * IFERROR(VLOOKUP("LULUCF|NOx|Asthma symptoms wheeze", US_national_yearly!$D:$AM, 36, FALSE) / VLOOKUP("LULUCF|NOx|Asthma symptoms wheeze", US_national_yearly!$D:$AM, 10, FALSE), 1)</f>
        <v>1.0740685295381977E-3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1.6445956619287602E-5</v>
      </c>
      <c r="C12" s="7">
        <f>$B12 * IFERROR(VLOOKUP("LULUCF|NOx|Respiratory hospital admissions", US_national_yearly!$D:$AM, 11, FALSE) / VLOOKUP("LULUCF|NOx|Respiratory hospital admissions", US_national_yearly!$D:$AM, 10, FALSE), 1)</f>
        <v>1.6856195492869112E-5</v>
      </c>
      <c r="D12" s="7">
        <f>$B12 * IFERROR(VLOOKUP("LULUCF|NOx|Respiratory hospital admissions", US_national_yearly!$D:$AM, 12, FALSE) / VLOOKUP("LULUCF|NOx|Respiratory hospital admissions", US_national_yearly!$D:$AM, 10, FALSE), 1)</f>
        <v>1.7266434366450621E-5</v>
      </c>
      <c r="E12" s="7">
        <f>$B12 * IFERROR(VLOOKUP("LULUCF|NOx|Respiratory hospital admissions", US_national_yearly!$D:$AM, 13, FALSE) / VLOOKUP("LULUCF|NOx|Respiratory hospital admissions", US_national_yearly!$D:$AM, 10, FALSE), 1)</f>
        <v>1.7676673240032135E-5</v>
      </c>
      <c r="F12" s="7">
        <f>$B12 * IFERROR(VLOOKUP("LULUCF|NOx|Respiratory hospital admissions", US_national_yearly!$D:$AM, 14, FALSE) / VLOOKUP("LULUCF|NOx|Respiratory hospital admissions", US_national_yearly!$D:$AM, 10, FALSE), 1)</f>
        <v>1.8086912113613648E-5</v>
      </c>
      <c r="G12" s="7">
        <f>$B12 * IFERROR(VLOOKUP("LULUCF|NOx|Respiratory hospital admissions", US_national_yearly!$D:$AM, 15, FALSE) / VLOOKUP("LULUCF|NOx|Respiratory hospital admissions", US_national_yearly!$D:$AM, 10, FALSE), 1)</f>
        <v>1.8479114439626755E-5</v>
      </c>
      <c r="H12" s="7">
        <f>$B12 * IFERROR(VLOOKUP("LULUCF|NOx|Respiratory hospital admissions", US_national_yearly!$D:$AM, 16, FALSE) / VLOOKUP("LULUCF|NOx|Respiratory hospital admissions", US_national_yearly!$D:$AM, 10, FALSE), 1)</f>
        <v>1.8871316765639861E-5</v>
      </c>
      <c r="I12" s="7">
        <f>$B12 * IFERROR(VLOOKUP("LULUCF|NOx|Respiratory hospital admissions", US_national_yearly!$D:$AM, 17, FALSE) / VLOOKUP("LULUCF|NOx|Respiratory hospital admissions", US_national_yearly!$D:$AM, 10, FALSE), 1)</f>
        <v>1.9204304603288845E-5</v>
      </c>
      <c r="J12" s="7">
        <f>$B12 * IFERROR(VLOOKUP("LULUCF|NOx|Respiratory hospital admissions", US_national_yearly!$D:$AM, 18, FALSE) / VLOOKUP("LULUCF|NOx|Respiratory hospital admissions", US_national_yearly!$D:$AM, 10, FALSE), 1)</f>
        <v>1.9537292440937825E-5</v>
      </c>
      <c r="K12" s="7">
        <f>$B12 * IFERROR(VLOOKUP("LULUCF|NOx|Respiratory hospital admissions", US_national_yearly!$D:$AM, 19, FALSE) / VLOOKUP("LULUCF|NOx|Respiratory hospital admissions", US_national_yearly!$D:$AM, 10, FALSE), 1)</f>
        <v>1.9870280278586806E-5</v>
      </c>
      <c r="L12" s="7">
        <f>$B12 * IFERROR(VLOOKUP("LULUCF|NOx|Respiratory hospital admissions", US_national_yearly!$D:$AM, 20, FALSE) / VLOOKUP("LULUCF|NOx|Respiratory hospital admissions", US_national_yearly!$D:$AM, 10, FALSE), 1)</f>
        <v>2.020326811623579E-5</v>
      </c>
      <c r="M12" s="7">
        <f>$B12 * IFERROR(VLOOKUP("LULUCF|NOx|Respiratory hospital admissions", US_national_yearly!$D:$AM, 21, FALSE) / VLOOKUP("LULUCF|NOx|Respiratory hospital admissions", US_national_yearly!$D:$AM, 10, FALSE), 1)</f>
        <v>2.0536255953884773E-5</v>
      </c>
      <c r="N12" s="7">
        <f>$B12 * IFERROR(VLOOKUP("LULUCF|NOx|Respiratory hospital admissions", US_national_yearly!$D:$AM, 22, FALSE) / VLOOKUP("LULUCF|NOx|Respiratory hospital admissions", US_national_yearly!$D:$AM, 10, FALSE), 1)</f>
        <v>2.0758864318652403E-5</v>
      </c>
      <c r="O12" s="7">
        <f>$B12 * IFERROR(VLOOKUP("LULUCF|NOx|Respiratory hospital admissions", US_national_yearly!$D:$AM, 23, FALSE) / VLOOKUP("LULUCF|NOx|Respiratory hospital admissions", US_national_yearly!$D:$AM, 10, FALSE), 1)</f>
        <v>2.0981472683420038E-5</v>
      </c>
      <c r="P12" s="7">
        <f>$B12 * IFERROR(VLOOKUP("LULUCF|NOx|Respiratory hospital admissions", US_national_yearly!$D:$AM, 24, FALSE) / VLOOKUP("LULUCF|NOx|Respiratory hospital admissions", US_national_yearly!$D:$AM, 10, FALSE), 1)</f>
        <v>2.1204081048187674E-5</v>
      </c>
      <c r="Q12" s="7">
        <f>$B12 * IFERROR(VLOOKUP("LULUCF|NOx|Respiratory hospital admissions", US_national_yearly!$D:$AM, 25, FALSE) / VLOOKUP("LULUCF|NOx|Respiratory hospital admissions", US_national_yearly!$D:$AM, 10, FALSE), 1)</f>
        <v>2.142668941295531E-5</v>
      </c>
      <c r="R12" s="7">
        <f>$B12 * IFERROR(VLOOKUP("LULUCF|NOx|Respiratory hospital admissions", US_national_yearly!$D:$AM, 26, FALSE) / VLOOKUP("LULUCF|NOx|Respiratory hospital admissions", US_national_yearly!$D:$AM, 10, FALSE), 1)</f>
        <v>2.1649297777722943E-5</v>
      </c>
      <c r="S12" s="7">
        <f>$B12 * IFERROR(VLOOKUP("LULUCF|NOx|Respiratory hospital admissions", US_national_yearly!$D:$AM, 27, FALSE) / VLOOKUP("LULUCF|NOx|Respiratory hospital admissions", US_national_yearly!$D:$AM, 10, FALSE), 1)</f>
        <v>2.1768565307577461E-5</v>
      </c>
      <c r="T12" s="7">
        <f>$B12 * IFERROR(VLOOKUP("LULUCF|NOx|Respiratory hospital admissions", US_national_yearly!$D:$AM, 28, FALSE) / VLOOKUP("LULUCF|NOx|Respiratory hospital admissions", US_national_yearly!$D:$AM, 10, FALSE), 1)</f>
        <v>2.1887832837431979E-5</v>
      </c>
      <c r="U12" s="7">
        <f>$B12 * IFERROR(VLOOKUP("LULUCF|NOx|Respiratory hospital admissions", US_national_yearly!$D:$AM, 29, FALSE) / VLOOKUP("LULUCF|NOx|Respiratory hospital admissions", US_national_yearly!$D:$AM, 10, FALSE), 1)</f>
        <v>2.2007100367286498E-5</v>
      </c>
      <c r="V12" s="7">
        <f>$B12 * IFERROR(VLOOKUP("LULUCF|NOx|Respiratory hospital admissions", US_national_yearly!$D:$AM, 30, FALSE) / VLOOKUP("LULUCF|NOx|Respiratory hospital admissions", US_national_yearly!$D:$AM, 10, FALSE), 1)</f>
        <v>2.2126367897141013E-5</v>
      </c>
      <c r="W12" s="7">
        <f>$B12 * IFERROR(VLOOKUP("LULUCF|NOx|Respiratory hospital admissions", US_national_yearly!$D:$AM, 31, FALSE) / VLOOKUP("LULUCF|NOx|Respiratory hospital admissions", US_national_yearly!$D:$AM, 10, FALSE), 1)</f>
        <v>2.2245635426995534E-5</v>
      </c>
      <c r="X12" s="7">
        <f>$B12 * IFERROR(VLOOKUP("LULUCF|NOx|Respiratory hospital admissions", US_national_yearly!$D:$AM, 32, FALSE) / VLOOKUP("LULUCF|NOx|Respiratory hospital admissions", US_national_yearly!$D:$AM, 10, FALSE), 1)</f>
        <v>2.2327139288832846E-5</v>
      </c>
      <c r="Y12" s="7">
        <f>$B12 * IFERROR(VLOOKUP("LULUCF|NOx|Respiratory hospital admissions", US_national_yearly!$D:$AM, 33, FALSE) / VLOOKUP("LULUCF|NOx|Respiratory hospital admissions", US_national_yearly!$D:$AM, 10, FALSE), 1)</f>
        <v>2.2408643150670162E-5</v>
      </c>
      <c r="Z12" s="7">
        <f>$B12 * IFERROR(VLOOKUP("LULUCF|NOx|Respiratory hospital admissions", US_national_yearly!$D:$AM, 34, FALSE) / VLOOKUP("LULUCF|NOx|Respiratory hospital admissions", US_national_yearly!$D:$AM, 10, FALSE), 1)</f>
        <v>2.2490147012507477E-5</v>
      </c>
      <c r="AA12" s="7">
        <f>$B12 * IFERROR(VLOOKUP("LULUCF|NOx|Respiratory hospital admissions", US_national_yearly!$D:$AM, 35, FALSE) / VLOOKUP("LULUCF|NOx|Respiratory hospital admissions", US_national_yearly!$D:$AM, 10, FALSE), 1)</f>
        <v>2.2571650874344792E-5</v>
      </c>
      <c r="AB12" s="7">
        <f>$B12 * IFERROR(VLOOKUP("LULUCF|NOx|Respiratory hospital admissions", US_national_yearly!$D:$AM, 36, FALSE) / VLOOKUP("LULUCF|NOx|Respiratory hospital admissions", US_national_yearly!$D:$AM, 10, FALSE), 1)</f>
        <v>2.2653154736182104E-5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8.9864805058869292E-5</v>
      </c>
      <c r="C13" s="7">
        <f>$B13 * IFERROR(VLOOKUP("LULUCF|NOx|Non-fatal heart attacks", US_national_yearly!$D:$AM, 11, FALSE) / VLOOKUP("LULUCF|NOx|Non-fatal heart attacks", US_national_yearly!$D:$AM, 10, FALSE), 1)</f>
        <v>9.2433960659557505E-5</v>
      </c>
      <c r="D13" s="7">
        <f>$B13 * IFERROR(VLOOKUP("LULUCF|NOx|Non-fatal heart attacks", US_national_yearly!$D:$AM, 12, FALSE) / VLOOKUP("LULUCF|NOx|Non-fatal heart attacks", US_national_yearly!$D:$AM, 10, FALSE), 1)</f>
        <v>9.5003116260245705E-5</v>
      </c>
      <c r="E13" s="7">
        <f>$B13 * IFERROR(VLOOKUP("LULUCF|NOx|Non-fatal heart attacks", US_national_yearly!$D:$AM, 13, FALSE) / VLOOKUP("LULUCF|NOx|Non-fatal heart attacks", US_national_yearly!$D:$AM, 10, FALSE), 1)</f>
        <v>9.7572271860933891E-5</v>
      </c>
      <c r="F13" s="7">
        <f>$B13 * IFERROR(VLOOKUP("LULUCF|NOx|Non-fatal heart attacks", US_national_yearly!$D:$AM, 14, FALSE) / VLOOKUP("LULUCF|NOx|Non-fatal heart attacks", US_national_yearly!$D:$AM, 10, FALSE), 1)</f>
        <v>1.001414274616221E-4</v>
      </c>
      <c r="G13" s="7">
        <f>$B13 * IFERROR(VLOOKUP("LULUCF|NOx|Non-fatal heart attacks", US_national_yearly!$D:$AM, 15, FALSE) / VLOOKUP("LULUCF|NOx|Non-fatal heart attacks", US_national_yearly!$D:$AM, 10, FALSE), 1)</f>
        <v>1.025422980308681E-4</v>
      </c>
      <c r="H13" s="7">
        <f>$B13 * IFERROR(VLOOKUP("LULUCF|NOx|Non-fatal heart attacks", US_national_yearly!$D:$AM, 16, FALSE) / VLOOKUP("LULUCF|NOx|Non-fatal heart attacks", US_national_yearly!$D:$AM, 10, FALSE), 1)</f>
        <v>1.049431686001141E-4</v>
      </c>
      <c r="I13" s="7">
        <f>$B13 * IFERROR(VLOOKUP("LULUCF|NOx|Non-fatal heart attacks", US_national_yearly!$D:$AM, 17, FALSE) / VLOOKUP("LULUCF|NOx|Non-fatal heart attacks", US_national_yearly!$D:$AM, 10, FALSE), 1)</f>
        <v>1.0683598059825405E-4</v>
      </c>
      <c r="J13" s="7">
        <f>$B13 * IFERROR(VLOOKUP("LULUCF|NOx|Non-fatal heart attacks", US_national_yearly!$D:$AM, 18, FALSE) / VLOOKUP("LULUCF|NOx|Non-fatal heart attacks", US_national_yearly!$D:$AM, 10, FALSE), 1)</f>
        <v>1.0872879259639403E-4</v>
      </c>
      <c r="K13" s="7">
        <f>$B13 * IFERROR(VLOOKUP("LULUCF|NOx|Non-fatal heart attacks", US_national_yearly!$D:$AM, 19, FALSE) / VLOOKUP("LULUCF|NOx|Non-fatal heart attacks", US_national_yearly!$D:$AM, 10, FALSE), 1)</f>
        <v>1.1062160459453393E-4</v>
      </c>
      <c r="L13" s="7">
        <f>$B13 * IFERROR(VLOOKUP("LULUCF|NOx|Non-fatal heart attacks", US_national_yearly!$D:$AM, 20, FALSE) / VLOOKUP("LULUCF|NOx|Non-fatal heart attacks", US_national_yearly!$D:$AM, 10, FALSE), 1)</f>
        <v>1.1251441659267396E-4</v>
      </c>
      <c r="M13" s="7">
        <f>$B13 * IFERROR(VLOOKUP("LULUCF|NOx|Non-fatal heart attacks", US_national_yearly!$D:$AM, 21, FALSE) / VLOOKUP("LULUCF|NOx|Non-fatal heart attacks", US_national_yearly!$D:$AM, 10, FALSE), 1)</f>
        <v>1.144072285908139E-4</v>
      </c>
      <c r="N13" s="7">
        <f>$B13 * IFERROR(VLOOKUP("LULUCF|NOx|Non-fatal heart attacks", US_national_yearly!$D:$AM, 22, FALSE) / VLOOKUP("LULUCF|NOx|Non-fatal heart attacks", US_national_yearly!$D:$AM, 10, FALSE), 1)</f>
        <v>1.1554600169140509E-4</v>
      </c>
      <c r="O13" s="7">
        <f>$B13 * IFERROR(VLOOKUP("LULUCF|NOx|Non-fatal heart attacks", US_national_yearly!$D:$AM, 23, FALSE) / VLOOKUP("LULUCF|NOx|Non-fatal heart attacks", US_national_yearly!$D:$AM, 10, FALSE), 1)</f>
        <v>1.166847747919963E-4</v>
      </c>
      <c r="P13" s="7">
        <f>$B13 * IFERROR(VLOOKUP("LULUCF|NOx|Non-fatal heart attacks", US_national_yearly!$D:$AM, 24, FALSE) / VLOOKUP("LULUCF|NOx|Non-fatal heart attacks", US_national_yearly!$D:$AM, 10, FALSE), 1)</f>
        <v>1.1782354789258749E-4</v>
      </c>
      <c r="Q13" s="7">
        <f>$B13 * IFERROR(VLOOKUP("LULUCF|NOx|Non-fatal heart attacks", US_national_yearly!$D:$AM, 25, FALSE) / VLOOKUP("LULUCF|NOx|Non-fatal heart attacks", US_national_yearly!$D:$AM, 10, FALSE), 1)</f>
        <v>1.1896232099317871E-4</v>
      </c>
      <c r="R13" s="7">
        <f>$B13 * IFERROR(VLOOKUP("LULUCF|NOx|Non-fatal heart attacks", US_national_yearly!$D:$AM, 26, FALSE) / VLOOKUP("LULUCF|NOx|Non-fatal heart attacks", US_national_yearly!$D:$AM, 10, FALSE), 1)</f>
        <v>1.2010109409376992E-4</v>
      </c>
      <c r="S13" s="7">
        <f>$B13 * IFERROR(VLOOKUP("LULUCF|NOx|Non-fatal heart attacks", US_national_yearly!$D:$AM, 27, FALSE) / VLOOKUP("LULUCF|NOx|Non-fatal heart attacks", US_national_yearly!$D:$AM, 10, FALSE), 1)</f>
        <v>1.2061764944837649E-4</v>
      </c>
      <c r="T13" s="7">
        <f>$B13 * IFERROR(VLOOKUP("LULUCF|NOx|Non-fatal heart attacks", US_national_yearly!$D:$AM, 28, FALSE) / VLOOKUP("LULUCF|NOx|Non-fatal heart attacks", US_national_yearly!$D:$AM, 10, FALSE), 1)</f>
        <v>1.2113420480298305E-4</v>
      </c>
      <c r="U13" s="7">
        <f>$B13 * IFERROR(VLOOKUP("LULUCF|NOx|Non-fatal heart attacks", US_national_yearly!$D:$AM, 29, FALSE) / VLOOKUP("LULUCF|NOx|Non-fatal heart attacks", US_national_yearly!$D:$AM, 10, FALSE), 1)</f>
        <v>1.2165076015758963E-4</v>
      </c>
      <c r="V13" s="7">
        <f>$B13 * IFERROR(VLOOKUP("LULUCF|NOx|Non-fatal heart attacks", US_national_yearly!$D:$AM, 30, FALSE) / VLOOKUP("LULUCF|NOx|Non-fatal heart attacks", US_national_yearly!$D:$AM, 10, FALSE), 1)</f>
        <v>1.2216731551219619E-4</v>
      </c>
      <c r="W13" s="7">
        <f>$B13 * IFERROR(VLOOKUP("LULUCF|NOx|Non-fatal heart attacks", US_national_yearly!$D:$AM, 31, FALSE) / VLOOKUP("LULUCF|NOx|Non-fatal heart attacks", US_national_yearly!$D:$AM, 10, FALSE), 1)</f>
        <v>1.2268387086680277E-4</v>
      </c>
      <c r="X13" s="7">
        <f>$B13 * IFERROR(VLOOKUP("LULUCF|NOx|Non-fatal heart attacks", US_national_yearly!$D:$AM, 32, FALSE) / VLOOKUP("LULUCF|NOx|Non-fatal heart attacks", US_national_yearly!$D:$AM, 10, FALSE), 1)</f>
        <v>1.2302906033496926E-4</v>
      </c>
      <c r="Y13" s="7">
        <f>$B13 * IFERROR(VLOOKUP("LULUCF|NOx|Non-fatal heart attacks", US_national_yearly!$D:$AM, 33, FALSE) / VLOOKUP("LULUCF|NOx|Non-fatal heart attacks", US_national_yearly!$D:$AM, 10, FALSE), 1)</f>
        <v>1.2337424980313579E-4</v>
      </c>
      <c r="Z13" s="7">
        <f>$B13 * IFERROR(VLOOKUP("LULUCF|NOx|Non-fatal heart attacks", US_national_yearly!$D:$AM, 34, FALSE) / VLOOKUP("LULUCF|NOx|Non-fatal heart attacks", US_national_yearly!$D:$AM, 10, FALSE), 1)</f>
        <v>1.2371943927130225E-4</v>
      </c>
      <c r="AA13" s="7">
        <f>$B13 * IFERROR(VLOOKUP("LULUCF|NOx|Non-fatal heart attacks", US_national_yearly!$D:$AM, 35, FALSE) / VLOOKUP("LULUCF|NOx|Non-fatal heart attacks", US_national_yearly!$D:$AM, 10, FALSE), 1)</f>
        <v>1.2406462873946876E-4</v>
      </c>
      <c r="AB13" s="7">
        <f>$B13 * IFERROR(VLOOKUP("LULUCF|NOx|Non-fatal heart attacks", US_national_yearly!$D:$AM, 36, FALSE) / VLOOKUP("LULUCF|NOx|Non-fatal heart attacks", US_national_yearly!$D:$AM, 10, FALSE), 1)</f>
        <v>1.2440981820763527E-4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5.5318857754985955E-2</v>
      </c>
      <c r="C14" s="7">
        <f>$B14 * IFERROR(VLOOKUP("LULUCF|NOx|Minor restricted activity days", US_national_yearly!$D:$AM, 11, FALSE) / VLOOKUP("LULUCF|NOx|Minor restricted activity days", US_national_yearly!$D:$AM, 10, FALSE), 1)</f>
        <v>5.5403670847458848E-2</v>
      </c>
      <c r="D14" s="7">
        <f>$B14 * IFERROR(VLOOKUP("LULUCF|NOx|Minor restricted activity days", US_national_yearly!$D:$AM, 12, FALSE) / VLOOKUP("LULUCF|NOx|Minor restricted activity days", US_national_yearly!$D:$AM, 10, FALSE), 1)</f>
        <v>5.5488483939931749E-2</v>
      </c>
      <c r="E14" s="7">
        <f>$B14 * IFERROR(VLOOKUP("LULUCF|NOx|Minor restricted activity days", US_national_yearly!$D:$AM, 13, FALSE) / VLOOKUP("LULUCF|NOx|Minor restricted activity days", US_national_yearly!$D:$AM, 10, FALSE), 1)</f>
        <v>5.5573297032404656E-2</v>
      </c>
      <c r="F14" s="7">
        <f>$B14 * IFERROR(VLOOKUP("LULUCF|NOx|Minor restricted activity days", US_national_yearly!$D:$AM, 14, FALSE) / VLOOKUP("LULUCF|NOx|Minor restricted activity days", US_national_yearly!$D:$AM, 10, FALSE), 1)</f>
        <v>5.5658110124877543E-2</v>
      </c>
      <c r="G14" s="7">
        <f>$B14 * IFERROR(VLOOKUP("LULUCF|NOx|Minor restricted activity days", US_national_yearly!$D:$AM, 15, FALSE) / VLOOKUP("LULUCF|NOx|Minor restricted activity days", US_national_yearly!$D:$AM, 10, FALSE), 1)</f>
        <v>5.5811262382632926E-2</v>
      </c>
      <c r="H14" s="7">
        <f>$B14 * IFERROR(VLOOKUP("LULUCF|NOx|Minor restricted activity days", US_national_yearly!$D:$AM, 16, FALSE) / VLOOKUP("LULUCF|NOx|Minor restricted activity days", US_national_yearly!$D:$AM, 10, FALSE), 1)</f>
        <v>5.5964414640388288E-2</v>
      </c>
      <c r="I14" s="7">
        <f>$B14 * IFERROR(VLOOKUP("LULUCF|NOx|Minor restricted activity days", US_national_yearly!$D:$AM, 17, FALSE) / VLOOKUP("LULUCF|NOx|Minor restricted activity days", US_national_yearly!$D:$AM, 10, FALSE), 1)</f>
        <v>5.6263974400290857E-2</v>
      </c>
      <c r="J14" s="7">
        <f>$B14 * IFERROR(VLOOKUP("LULUCF|NOx|Minor restricted activity days", US_national_yearly!$D:$AM, 18, FALSE) / VLOOKUP("LULUCF|NOx|Minor restricted activity days", US_national_yearly!$D:$AM, 10, FALSE), 1)</f>
        <v>5.656353416019342E-2</v>
      </c>
      <c r="K14" s="7">
        <f>$B14 * IFERROR(VLOOKUP("LULUCF|NOx|Minor restricted activity days", US_national_yearly!$D:$AM, 19, FALSE) / VLOOKUP("LULUCF|NOx|Minor restricted activity days", US_national_yearly!$D:$AM, 10, FALSE), 1)</f>
        <v>5.6863093920095989E-2</v>
      </c>
      <c r="L14" s="7">
        <f>$B14 * IFERROR(VLOOKUP("LULUCF|NOx|Minor restricted activity days", US_national_yearly!$D:$AM, 20, FALSE) / VLOOKUP("LULUCF|NOx|Minor restricted activity days", US_national_yearly!$D:$AM, 10, FALSE), 1)</f>
        <v>5.7162653679998551E-2</v>
      </c>
      <c r="M14" s="7">
        <f>$B14 * IFERROR(VLOOKUP("LULUCF|NOx|Minor restricted activity days", US_national_yearly!$D:$AM, 21, FALSE) / VLOOKUP("LULUCF|NOx|Minor restricted activity days", US_national_yearly!$D:$AM, 10, FALSE), 1)</f>
        <v>5.7462213439901121E-2</v>
      </c>
      <c r="N14" s="7">
        <f>$B14 * IFERROR(VLOOKUP("LULUCF|NOx|Minor restricted activity days", US_national_yearly!$D:$AM, 22, FALSE) / VLOOKUP("LULUCF|NOx|Minor restricted activity days", US_national_yearly!$D:$AM, 10, FALSE), 1)</f>
        <v>5.7891115092377231E-2</v>
      </c>
      <c r="O14" s="7">
        <f>$B14 * IFERROR(VLOOKUP("LULUCF|NOx|Minor restricted activity days", US_national_yearly!$D:$AM, 23, FALSE) / VLOOKUP("LULUCF|NOx|Minor restricted activity days", US_national_yearly!$D:$AM, 10, FALSE), 1)</f>
        <v>5.8320016744853341E-2</v>
      </c>
      <c r="P14" s="7">
        <f>$B14 * IFERROR(VLOOKUP("LULUCF|NOx|Minor restricted activity days", US_national_yearly!$D:$AM, 24, FALSE) / VLOOKUP("LULUCF|NOx|Minor restricted activity days", US_national_yearly!$D:$AM, 10, FALSE), 1)</f>
        <v>5.8748918397329451E-2</v>
      </c>
      <c r="Q14" s="7">
        <f>$B14 * IFERROR(VLOOKUP("LULUCF|NOx|Minor restricted activity days", US_national_yearly!$D:$AM, 25, FALSE) / VLOOKUP("LULUCF|NOx|Minor restricted activity days", US_national_yearly!$D:$AM, 10, FALSE), 1)</f>
        <v>5.9177820049805555E-2</v>
      </c>
      <c r="R14" s="7">
        <f>$B14 * IFERROR(VLOOKUP("LULUCF|NOx|Minor restricted activity days", US_national_yearly!$D:$AM, 26, FALSE) / VLOOKUP("LULUCF|NOx|Minor restricted activity days", US_national_yearly!$D:$AM, 10, FALSE), 1)</f>
        <v>5.9606721702281665E-2</v>
      </c>
      <c r="S14" s="7">
        <f>$B14 * IFERROR(VLOOKUP("LULUCF|NOx|Minor restricted activity days", US_national_yearly!$D:$AM, 27, FALSE) / VLOOKUP("LULUCF|NOx|Minor restricted activity days", US_national_yearly!$D:$AM, 10, FALSE), 1)</f>
        <v>6.0035533179103338E-2</v>
      </c>
      <c r="T14" s="7">
        <f>$B14 * IFERROR(VLOOKUP("LULUCF|NOx|Minor restricted activity days", US_national_yearly!$D:$AM, 28, FALSE) / VLOOKUP("LULUCF|NOx|Minor restricted activity days", US_national_yearly!$D:$AM, 10, FALSE), 1)</f>
        <v>6.0464344655924998E-2</v>
      </c>
      <c r="U14" s="7">
        <f>$B14 * IFERROR(VLOOKUP("LULUCF|NOx|Minor restricted activity days", US_national_yearly!$D:$AM, 29, FALSE) / VLOOKUP("LULUCF|NOx|Minor restricted activity days", US_national_yearly!$D:$AM, 10, FALSE), 1)</f>
        <v>6.0893156132746672E-2</v>
      </c>
      <c r="V14" s="7">
        <f>$B14 * IFERROR(VLOOKUP("LULUCF|NOx|Minor restricted activity days", US_national_yearly!$D:$AM, 30, FALSE) / VLOOKUP("LULUCF|NOx|Minor restricted activity days", US_national_yearly!$D:$AM, 10, FALSE), 1)</f>
        <v>6.1321967609568345E-2</v>
      </c>
      <c r="W14" s="7">
        <f>$B14 * IFERROR(VLOOKUP("LULUCF|NOx|Minor restricted activity days", US_national_yearly!$D:$AM, 31, FALSE) / VLOOKUP("LULUCF|NOx|Minor restricted activity days", US_national_yearly!$D:$AM, 10, FALSE), 1)</f>
        <v>6.1750779086390005E-2</v>
      </c>
      <c r="X14" s="7">
        <f>$B14 * IFERROR(VLOOKUP("LULUCF|NOx|Minor restricted activity days", US_national_yearly!$D:$AM, 32, FALSE) / VLOOKUP("LULUCF|NOx|Minor restricted activity days", US_national_yearly!$D:$AM, 10, FALSE), 1)</f>
        <v>6.2113322854113667E-2</v>
      </c>
      <c r="Y14" s="7">
        <f>$B14 * IFERROR(VLOOKUP("LULUCF|NOx|Minor restricted activity days", US_national_yearly!$D:$AM, 33, FALSE) / VLOOKUP("LULUCF|NOx|Minor restricted activity days", US_national_yearly!$D:$AM, 10, FALSE), 1)</f>
        <v>6.2475866621837323E-2</v>
      </c>
      <c r="Z14" s="7">
        <f>$B14 * IFERROR(VLOOKUP("LULUCF|NOx|Minor restricted activity days", US_national_yearly!$D:$AM, 34, FALSE) / VLOOKUP("LULUCF|NOx|Minor restricted activity days", US_national_yearly!$D:$AM, 10, FALSE), 1)</f>
        <v>6.2838410389560978E-2</v>
      </c>
      <c r="AA14" s="7">
        <f>$B14 * IFERROR(VLOOKUP("LULUCF|NOx|Minor restricted activity days", US_national_yearly!$D:$AM, 35, FALSE) / VLOOKUP("LULUCF|NOx|Minor restricted activity days", US_national_yearly!$D:$AM, 10, FALSE), 1)</f>
        <v>6.3200954157284633E-2</v>
      </c>
      <c r="AB14" s="7">
        <f>$B14 * IFERROR(VLOOKUP("LULUCF|NOx|Minor restricted activity days", US_national_yearly!$D:$AM, 36, FALSE) / VLOOKUP("LULUCF|NOx|Minor restricted activity days", US_national_yearly!$D:$AM, 10, FALSE), 1)</f>
        <v>6.3563497925008289E-2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9.3609544822172742E-3</v>
      </c>
      <c r="C15" s="7">
        <f>$B15 * IFERROR(VLOOKUP("LULUCF|NOx|Work loss days", US_national_yearly!$D:$AM, 11, FALSE) / VLOOKUP("LULUCF|NOx|Work loss days", US_national_yearly!$D:$AM, 10, FALSE), 1)</f>
        <v>9.3817774218754261E-3</v>
      </c>
      <c r="D15" s="7">
        <f>$B15 * IFERROR(VLOOKUP("LULUCF|NOx|Work loss days", US_national_yearly!$D:$AM, 12, FALSE) / VLOOKUP("LULUCF|NOx|Work loss days", US_national_yearly!$D:$AM, 10, FALSE), 1)</f>
        <v>9.4026003615335797E-3</v>
      </c>
      <c r="E15" s="7">
        <f>$B15 * IFERROR(VLOOKUP("LULUCF|NOx|Work loss days", US_national_yearly!$D:$AM, 13, FALSE) / VLOOKUP("LULUCF|NOx|Work loss days", US_national_yearly!$D:$AM, 10, FALSE), 1)</f>
        <v>9.4234233011917315E-3</v>
      </c>
      <c r="F15" s="7">
        <f>$B15 * IFERROR(VLOOKUP("LULUCF|NOx|Work loss days", US_national_yearly!$D:$AM, 14, FALSE) / VLOOKUP("LULUCF|NOx|Work loss days", US_national_yearly!$D:$AM, 10, FALSE), 1)</f>
        <v>9.4442462408498868E-3</v>
      </c>
      <c r="G15" s="7">
        <f>$B15 * IFERROR(VLOOKUP("LULUCF|NOx|Work loss days", US_national_yearly!$D:$AM, 15, FALSE) / VLOOKUP("LULUCF|NOx|Work loss days", US_national_yearly!$D:$AM, 10, FALSE), 1)</f>
        <v>9.4746479103797101E-3</v>
      </c>
      <c r="H15" s="7">
        <f>$B15 * IFERROR(VLOOKUP("LULUCF|NOx|Work loss days", US_national_yearly!$D:$AM, 16, FALSE) / VLOOKUP("LULUCF|NOx|Work loss days", US_national_yearly!$D:$AM, 10, FALSE), 1)</f>
        <v>9.5050495799095351E-3</v>
      </c>
      <c r="I15" s="7">
        <f>$B15 * IFERROR(VLOOKUP("LULUCF|NOx|Work loss days", US_national_yearly!$D:$AM, 17, FALSE) / VLOOKUP("LULUCF|NOx|Work loss days", US_national_yearly!$D:$AM, 10, FALSE), 1)</f>
        <v>9.5542986368923801E-3</v>
      </c>
      <c r="J15" s="7">
        <f>$B15 * IFERROR(VLOOKUP("LULUCF|NOx|Work loss days", US_national_yearly!$D:$AM, 18, FALSE) / VLOOKUP("LULUCF|NOx|Work loss days", US_national_yearly!$D:$AM, 10, FALSE), 1)</f>
        <v>9.6035476938752268E-3</v>
      </c>
      <c r="K15" s="7">
        <f>$B15 * IFERROR(VLOOKUP("LULUCF|NOx|Work loss days", US_national_yearly!$D:$AM, 19, FALSE) / VLOOKUP("LULUCF|NOx|Work loss days", US_national_yearly!$D:$AM, 10, FALSE), 1)</f>
        <v>9.6527967508580701E-3</v>
      </c>
      <c r="L15" s="7">
        <f>$B15 * IFERROR(VLOOKUP("LULUCF|NOx|Work loss days", US_national_yearly!$D:$AM, 20, FALSE) / VLOOKUP("LULUCF|NOx|Work loss days", US_national_yearly!$D:$AM, 10, FALSE), 1)</f>
        <v>9.7020458078409151E-3</v>
      </c>
      <c r="M15" s="7">
        <f>$B15 * IFERROR(VLOOKUP("LULUCF|NOx|Work loss days", US_national_yearly!$D:$AM, 21, FALSE) / VLOOKUP("LULUCF|NOx|Work loss days", US_national_yearly!$D:$AM, 10, FALSE), 1)</f>
        <v>9.7512948648237618E-3</v>
      </c>
      <c r="N15" s="7">
        <f>$B15 * IFERROR(VLOOKUP("LULUCF|NOx|Work loss days", US_national_yearly!$D:$AM, 22, FALSE) / VLOOKUP("LULUCF|NOx|Work loss days", US_national_yearly!$D:$AM, 10, FALSE), 1)</f>
        <v>9.8153894904301868E-3</v>
      </c>
      <c r="O15" s="7">
        <f>$B15 * IFERROR(VLOOKUP("LULUCF|NOx|Work loss days", US_national_yearly!$D:$AM, 23, FALSE) / VLOOKUP("LULUCF|NOx|Work loss days", US_national_yearly!$D:$AM, 10, FALSE), 1)</f>
        <v>9.8794841160366118E-3</v>
      </c>
      <c r="P15" s="7">
        <f>$B15 * IFERROR(VLOOKUP("LULUCF|NOx|Work loss days", US_national_yearly!$D:$AM, 24, FALSE) / VLOOKUP("LULUCF|NOx|Work loss days", US_national_yearly!$D:$AM, 10, FALSE), 1)</f>
        <v>9.943578741643035E-3</v>
      </c>
      <c r="Q15" s="7">
        <f>$B15 * IFERROR(VLOOKUP("LULUCF|NOx|Work loss days", US_national_yearly!$D:$AM, 25, FALSE) / VLOOKUP("LULUCF|NOx|Work loss days", US_national_yearly!$D:$AM, 10, FALSE), 1)</f>
        <v>1.0007673367249458E-2</v>
      </c>
      <c r="R15" s="7">
        <f>$B15 * IFERROR(VLOOKUP("LULUCF|NOx|Work loss days", US_national_yearly!$D:$AM, 26, FALSE) / VLOOKUP("LULUCF|NOx|Work loss days", US_national_yearly!$D:$AM, 10, FALSE), 1)</f>
        <v>1.0071767992855885E-2</v>
      </c>
      <c r="S15" s="7">
        <f>$B15 * IFERROR(VLOOKUP("LULUCF|NOx|Work loss days", US_national_yearly!$D:$AM, 27, FALSE) / VLOOKUP("LULUCF|NOx|Work loss days", US_national_yearly!$D:$AM, 10, FALSE), 1)</f>
        <v>1.0143225305139728E-2</v>
      </c>
      <c r="T15" s="7">
        <f>$B15 * IFERROR(VLOOKUP("LULUCF|NOx|Work loss days", US_national_yearly!$D:$AM, 28, FALSE) / VLOOKUP("LULUCF|NOx|Work loss days", US_national_yearly!$D:$AM, 10, FALSE), 1)</f>
        <v>1.0214682617423573E-2</v>
      </c>
      <c r="U15" s="7">
        <f>$B15 * IFERROR(VLOOKUP("LULUCF|NOx|Work loss days", US_national_yearly!$D:$AM, 29, FALSE) / VLOOKUP("LULUCF|NOx|Work loss days", US_national_yearly!$D:$AM, 10, FALSE), 1)</f>
        <v>1.0286139929707415E-2</v>
      </c>
      <c r="V15" s="7">
        <f>$B15 * IFERROR(VLOOKUP("LULUCF|NOx|Work loss days", US_national_yearly!$D:$AM, 30, FALSE) / VLOOKUP("LULUCF|NOx|Work loss days", US_national_yearly!$D:$AM, 10, FALSE), 1)</f>
        <v>1.0357597241991258E-2</v>
      </c>
      <c r="W15" s="7">
        <f>$B15 * IFERROR(VLOOKUP("LULUCF|NOx|Work loss days", US_national_yearly!$D:$AM, 31, FALSE) / VLOOKUP("LULUCF|NOx|Work loss days", US_national_yearly!$D:$AM, 10, FALSE), 1)</f>
        <v>1.0429054554275102E-2</v>
      </c>
      <c r="X15" s="7">
        <f>$B15 * IFERROR(VLOOKUP("LULUCF|NOx|Work loss days", US_national_yearly!$D:$AM, 32, FALSE) / VLOOKUP("LULUCF|NOx|Work loss days", US_national_yearly!$D:$AM, 10, FALSE), 1)</f>
        <v>1.0491075691466496E-2</v>
      </c>
      <c r="Y15" s="7">
        <f>$B15 * IFERROR(VLOOKUP("LULUCF|NOx|Work loss days", US_national_yearly!$D:$AM, 33, FALSE) / VLOOKUP("LULUCF|NOx|Work loss days", US_national_yearly!$D:$AM, 10, FALSE), 1)</f>
        <v>1.0553096828657892E-2</v>
      </c>
      <c r="Z15" s="7">
        <f>$B15 * IFERROR(VLOOKUP("LULUCF|NOx|Work loss days", US_national_yearly!$D:$AM, 34, FALSE) / VLOOKUP("LULUCF|NOx|Work loss days", US_national_yearly!$D:$AM, 10, FALSE), 1)</f>
        <v>1.0615117965849286E-2</v>
      </c>
      <c r="AA15" s="7">
        <f>$B15 * IFERROR(VLOOKUP("LULUCF|NOx|Work loss days", US_national_yearly!$D:$AM, 35, FALSE) / VLOOKUP("LULUCF|NOx|Work loss days", US_national_yearly!$D:$AM, 10, FALSE), 1)</f>
        <v>1.0677139103040682E-2</v>
      </c>
      <c r="AB15" s="7">
        <f>$B15 * IFERROR(VLOOKUP("LULUCF|NOx|Work loss days", US_national_yearly!$D:$AM, 36, FALSE) / VLOOKUP("LULUCF|NOx|Work loss days", US_national_yearly!$D:$AM, 10, FALSE), 1)</f>
        <v>1.0739160240232077E-2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2.2559418095088673E-5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2.3222318287551611E-5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2.3885218480014546E-5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2.4548118672477481E-5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2.5211018864940419E-5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2.5840664420927029E-5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2.6470309976913643E-5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2.6999793315085434E-5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2.7529276653257225E-5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2.8058759991429013E-5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2.8588243329600804E-5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2.9117726667772598E-5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2.9448830143448425E-5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2.9779933619124255E-5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3.0111037094800081E-5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3.0442140570475915E-5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3.0773244046151741E-5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3.0924317469842018E-5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3.1075390893532295E-5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3.1226464317222571E-5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3.1377537740912848E-5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3.1528611164603125E-5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3.1612688762544179E-5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3.1696766360485226E-5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3.1780843958426281E-5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3.1864921556367328E-5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3.1948999154308382E-5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1.9793098298844522E-4</v>
      </c>
      <c r="C2" s="7">
        <f>$B2 * IFERROR(VLOOKUP("LULUCF|SO2|Premature mortality", US_national_yearly!$D:$AM, 11, FALSE) / VLOOKUP("LULUCF|SO2|Premature mortality", US_national_yearly!$D:$AM, 10, FALSE), 1)</f>
        <v>2.0043767179457923E-4</v>
      </c>
      <c r="D2" s="7">
        <f>$B2 * IFERROR(VLOOKUP("LULUCF|SO2|Premature mortality", US_national_yearly!$D:$AM, 12, FALSE) / VLOOKUP("LULUCF|SO2|Premature mortality", US_national_yearly!$D:$AM, 10, FALSE), 1)</f>
        <v>2.0294436060071326E-4</v>
      </c>
      <c r="E2" s="7">
        <f>$B2 * IFERROR(VLOOKUP("LULUCF|SO2|Premature mortality", US_national_yearly!$D:$AM, 13, FALSE) / VLOOKUP("LULUCF|SO2|Premature mortality", US_national_yearly!$D:$AM, 10, FALSE), 1)</f>
        <v>2.0545104940684723E-4</v>
      </c>
      <c r="F2" s="7">
        <f>$B2 * IFERROR(VLOOKUP("LULUCF|SO2|Premature mortality", US_national_yearly!$D:$AM, 14, FALSE) / VLOOKUP("LULUCF|SO2|Premature mortality", US_national_yearly!$D:$AM, 10, FALSE), 1)</f>
        <v>2.0795773821298124E-4</v>
      </c>
      <c r="G2" s="7">
        <f>$B2 * IFERROR(VLOOKUP("LULUCF|SO2|Premature mortality", US_national_yearly!$D:$AM, 15, FALSE) / VLOOKUP("LULUCF|SO2|Premature mortality", US_national_yearly!$D:$AM, 10, FALSE), 1)</f>
        <v>2.1278798547869169E-4</v>
      </c>
      <c r="H2" s="7">
        <f>$B2 * IFERROR(VLOOKUP("LULUCF|SO2|Premature mortality", US_national_yearly!$D:$AM, 16, FALSE) / VLOOKUP("LULUCF|SO2|Premature mortality", US_national_yearly!$D:$AM, 10, FALSE), 1)</f>
        <v>2.1761823274440208E-4</v>
      </c>
      <c r="I2" s="7">
        <f>$B2 * IFERROR(VLOOKUP("LULUCF|SO2|Premature mortality", US_national_yearly!$D:$AM, 17, FALSE) / VLOOKUP("LULUCF|SO2|Premature mortality", US_national_yearly!$D:$AM, 10, FALSE), 1)</f>
        <v>2.2081035610624833E-4</v>
      </c>
      <c r="J2" s="7">
        <f>$B2 * IFERROR(VLOOKUP("LULUCF|SO2|Premature mortality", US_national_yearly!$D:$AM, 18, FALSE) / VLOOKUP("LULUCF|SO2|Premature mortality", US_national_yearly!$D:$AM, 10, FALSE), 1)</f>
        <v>2.2400247946809457E-4</v>
      </c>
      <c r="K2" s="7">
        <f>$B2 * IFERROR(VLOOKUP("LULUCF|SO2|Premature mortality", US_national_yearly!$D:$AM, 19, FALSE) / VLOOKUP("LULUCF|SO2|Premature mortality", US_national_yearly!$D:$AM, 10, FALSE), 1)</f>
        <v>2.2719460282994078E-4</v>
      </c>
      <c r="L2" s="7">
        <f>$B2 * IFERROR(VLOOKUP("LULUCF|SO2|Premature mortality", US_national_yearly!$D:$AM, 20, FALSE) / VLOOKUP("LULUCF|SO2|Premature mortality", US_national_yearly!$D:$AM, 10, FALSE), 1)</f>
        <v>2.3038672619178703E-4</v>
      </c>
      <c r="M2" s="7">
        <f>$B2 * IFERROR(VLOOKUP("LULUCF|SO2|Premature mortality", US_national_yearly!$D:$AM, 21, FALSE) / VLOOKUP("LULUCF|SO2|Premature mortality", US_national_yearly!$D:$AM, 10, FALSE), 1)</f>
        <v>2.3357884955363327E-4</v>
      </c>
      <c r="N2" s="7">
        <f>$B2 * IFERROR(VLOOKUP("LULUCF|SO2|Premature mortality", US_national_yearly!$D:$AM, 22, FALSE) / VLOOKUP("LULUCF|SO2|Premature mortality", US_national_yearly!$D:$AM, 10, FALSE), 1)</f>
        <v>2.3607300159910475E-4</v>
      </c>
      <c r="O2" s="7">
        <f>$B2 * IFERROR(VLOOKUP("LULUCF|SO2|Premature mortality", US_national_yearly!$D:$AM, 23, FALSE) / VLOOKUP("LULUCF|SO2|Premature mortality", US_national_yearly!$D:$AM, 10, FALSE), 1)</f>
        <v>2.385671536445762E-4</v>
      </c>
      <c r="P2" s="7">
        <f>$B2 * IFERROR(VLOOKUP("LULUCF|SO2|Premature mortality", US_national_yearly!$D:$AM, 24, FALSE) / VLOOKUP("LULUCF|SO2|Premature mortality", US_national_yearly!$D:$AM, 10, FALSE), 1)</f>
        <v>2.4106130569004767E-4</v>
      </c>
      <c r="Q2" s="7">
        <f>$B2 * IFERROR(VLOOKUP("LULUCF|SO2|Premature mortality", US_national_yearly!$D:$AM, 25, FALSE) / VLOOKUP("LULUCF|SO2|Premature mortality", US_national_yearly!$D:$AM, 10, FALSE), 1)</f>
        <v>2.4355545773551915E-4</v>
      </c>
      <c r="R2" s="7">
        <f>$B2 * IFERROR(VLOOKUP("LULUCF|SO2|Premature mortality", US_national_yearly!$D:$AM, 26, FALSE) / VLOOKUP("LULUCF|SO2|Premature mortality", US_national_yearly!$D:$AM, 10, FALSE), 1)</f>
        <v>2.4604960978099054E-4</v>
      </c>
      <c r="S2" s="7">
        <f>$B2 * IFERROR(VLOOKUP("LULUCF|SO2|Premature mortality", US_national_yearly!$D:$AM, 27, FALSE) / VLOOKUP("LULUCF|SO2|Premature mortality", US_national_yearly!$D:$AM, 10, FALSE), 1)</f>
        <v>2.4738526141147198E-4</v>
      </c>
      <c r="T2" s="7">
        <f>$B2 * IFERROR(VLOOKUP("LULUCF|SO2|Premature mortality", US_national_yearly!$D:$AM, 28, FALSE) / VLOOKUP("LULUCF|SO2|Premature mortality", US_national_yearly!$D:$AM, 10, FALSE), 1)</f>
        <v>2.4872091304195337E-4</v>
      </c>
      <c r="U2" s="7">
        <f>$B2 * IFERROR(VLOOKUP("LULUCF|SO2|Premature mortality", US_national_yearly!$D:$AM, 29, FALSE) / VLOOKUP("LULUCF|SO2|Premature mortality", US_national_yearly!$D:$AM, 10, FALSE), 1)</f>
        <v>2.5005656467243475E-4</v>
      </c>
      <c r="V2" s="7">
        <f>$B2 * IFERROR(VLOOKUP("LULUCF|SO2|Premature mortality", US_national_yearly!$D:$AM, 30, FALSE) / VLOOKUP("LULUCF|SO2|Premature mortality", US_national_yearly!$D:$AM, 10, FALSE), 1)</f>
        <v>2.5139221630291614E-4</v>
      </c>
      <c r="W2" s="7">
        <f>$B2 * IFERROR(VLOOKUP("LULUCF|SO2|Premature mortality", US_national_yearly!$D:$AM, 31, FALSE) / VLOOKUP("LULUCF|SO2|Premature mortality", US_national_yearly!$D:$AM, 10, FALSE), 1)</f>
        <v>2.5272786793339752E-4</v>
      </c>
      <c r="X2" s="7">
        <f>$B2 * IFERROR(VLOOKUP("LULUCF|SO2|Premature mortality", US_national_yearly!$D:$AM, 32, FALSE) / VLOOKUP("LULUCF|SO2|Premature mortality", US_national_yearly!$D:$AM, 10, FALSE), 1)</f>
        <v>2.5299920964758093E-4</v>
      </c>
      <c r="Y2" s="7">
        <f>$B2 * IFERROR(VLOOKUP("LULUCF|SO2|Premature mortality", US_national_yearly!$D:$AM, 33, FALSE) / VLOOKUP("LULUCF|SO2|Premature mortality", US_national_yearly!$D:$AM, 10, FALSE), 1)</f>
        <v>2.5327055136176434E-4</v>
      </c>
      <c r="Z2" s="7">
        <f>$B2 * IFERROR(VLOOKUP("LULUCF|SO2|Premature mortality", US_national_yearly!$D:$AM, 34, FALSE) / VLOOKUP("LULUCF|SO2|Premature mortality", US_national_yearly!$D:$AM, 10, FALSE), 1)</f>
        <v>2.5354189307594775E-4</v>
      </c>
      <c r="AA2" s="7">
        <f>$B2 * IFERROR(VLOOKUP("LULUCF|SO2|Premature mortality", US_national_yearly!$D:$AM, 35, FALSE) / VLOOKUP("LULUCF|SO2|Premature mortality", US_national_yearly!$D:$AM, 10, FALSE), 1)</f>
        <v>2.5381323479013122E-4</v>
      </c>
      <c r="AB2" s="7">
        <f>$B2 * IFERROR(VLOOKUP("LULUCF|SO2|Premature mortality", US_national_yearly!$D:$AM, 36, FALSE) / VLOOKUP("LULUCF|SO2|Premature mortality", US_national_yearly!$D:$AM, 10, FALSE), 1)</f>
        <v>2.5408457650431457E-4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4.6831861421919905E-7</v>
      </c>
      <c r="C3" s="7">
        <f>$B3 * IFERROR(VLOOKUP("LULUCF|SO2|Infant mortality", US_national_yearly!$D:$AM, 11, FALSE) / VLOOKUP("LULUCF|SO2|Infant mortality", US_national_yearly!$D:$AM, 10, FALSE), 1)</f>
        <v>4.6429567189913189E-7</v>
      </c>
      <c r="D3" s="7">
        <f>$B3 * IFERROR(VLOOKUP("LULUCF|SO2|Infant mortality", US_national_yearly!$D:$AM, 12, FALSE) / VLOOKUP("LULUCF|SO2|Infant mortality", US_national_yearly!$D:$AM, 10, FALSE), 1)</f>
        <v>4.6027272957906484E-7</v>
      </c>
      <c r="E3" s="7">
        <f>$B3 * IFERROR(VLOOKUP("LULUCF|SO2|Infant mortality", US_national_yearly!$D:$AM, 13, FALSE) / VLOOKUP("LULUCF|SO2|Infant mortality", US_national_yearly!$D:$AM, 10, FALSE), 1)</f>
        <v>4.5624978725899763E-7</v>
      </c>
      <c r="F3" s="7">
        <f>$B3 * IFERROR(VLOOKUP("LULUCF|SO2|Infant mortality", US_national_yearly!$D:$AM, 14, FALSE) / VLOOKUP("LULUCF|SO2|Infant mortality", US_national_yearly!$D:$AM, 10, FALSE), 1)</f>
        <v>4.5222684493893052E-7</v>
      </c>
      <c r="G3" s="7">
        <f>$B3 * IFERROR(VLOOKUP("LULUCF|SO2|Infant mortality", US_national_yearly!$D:$AM, 15, FALSE) / VLOOKUP("LULUCF|SO2|Infant mortality", US_national_yearly!$D:$AM, 10, FALSE), 1)</f>
        <v>3.0121950179425002E-7</v>
      </c>
      <c r="H3" s="7">
        <f>$B3 * IFERROR(VLOOKUP("LULUCF|SO2|Infant mortality", US_national_yearly!$D:$AM, 16, FALSE) / VLOOKUP("LULUCF|SO2|Infant mortality", US_national_yearly!$D:$AM, 10, FALSE), 1)</f>
        <v>1.502121586495697E-7</v>
      </c>
      <c r="I3" s="7">
        <f>$B3 * IFERROR(VLOOKUP("LULUCF|SO2|Infant mortality", US_national_yearly!$D:$AM, 17, FALSE) / VLOOKUP("LULUCF|SO2|Infant mortality", US_national_yearly!$D:$AM, 10, FALSE), 1)</f>
        <v>1.4926983241818354E-7</v>
      </c>
      <c r="J3" s="7">
        <f>$B3 * IFERROR(VLOOKUP("LULUCF|SO2|Infant mortality", US_national_yearly!$D:$AM, 18, FALSE) / VLOOKUP("LULUCF|SO2|Infant mortality", US_national_yearly!$D:$AM, 10, FALSE), 1)</f>
        <v>1.4832750618679738E-7</v>
      </c>
      <c r="K3" s="7">
        <f>$B3 * IFERROR(VLOOKUP("LULUCF|SO2|Infant mortality", US_national_yearly!$D:$AM, 19, FALSE) / VLOOKUP("LULUCF|SO2|Infant mortality", US_national_yearly!$D:$AM, 10, FALSE), 1)</f>
        <v>1.4738517995541122E-7</v>
      </c>
      <c r="L3" s="7">
        <f>$B3 * IFERROR(VLOOKUP("LULUCF|SO2|Infant mortality", US_national_yearly!$D:$AM, 20, FALSE) / VLOOKUP("LULUCF|SO2|Infant mortality", US_national_yearly!$D:$AM, 10, FALSE), 1)</f>
        <v>1.4644285372402511E-7</v>
      </c>
      <c r="M3" s="7">
        <f>$B3 * IFERROR(VLOOKUP("LULUCF|SO2|Infant mortality", US_national_yearly!$D:$AM, 21, FALSE) / VLOOKUP("LULUCF|SO2|Infant mortality", US_national_yearly!$D:$AM, 10, FALSE), 1)</f>
        <v>1.4550052749263895E-7</v>
      </c>
      <c r="N3" s="7">
        <f>$B3 * IFERROR(VLOOKUP("LULUCF|SO2|Infant mortality", US_national_yearly!$D:$AM, 22, FALSE) / VLOOKUP("LULUCF|SO2|Infant mortality", US_national_yearly!$D:$AM, 10, FALSE), 1)</f>
        <v>1.4490903637207605E-7</v>
      </c>
      <c r="O3" s="7">
        <f>$B3 * IFERROR(VLOOKUP("LULUCF|SO2|Infant mortality", US_national_yearly!$D:$AM, 23, FALSE) / VLOOKUP("LULUCF|SO2|Infant mortality", US_national_yearly!$D:$AM, 10, FALSE), 1)</f>
        <v>1.4431754525151317E-7</v>
      </c>
      <c r="P3" s="7">
        <f>$B3 * IFERROR(VLOOKUP("LULUCF|SO2|Infant mortality", US_national_yearly!$D:$AM, 24, FALSE) / VLOOKUP("LULUCF|SO2|Infant mortality", US_national_yearly!$D:$AM, 10, FALSE), 1)</f>
        <v>1.4372605413095027E-7</v>
      </c>
      <c r="Q3" s="7">
        <f>$B3 * IFERROR(VLOOKUP("LULUCF|SO2|Infant mortality", US_national_yearly!$D:$AM, 25, FALSE) / VLOOKUP("LULUCF|SO2|Infant mortality", US_national_yearly!$D:$AM, 10, FALSE), 1)</f>
        <v>1.4313456301038737E-7</v>
      </c>
      <c r="R3" s="7">
        <f>$B3 * IFERROR(VLOOKUP("LULUCF|SO2|Infant mortality", US_national_yearly!$D:$AM, 26, FALSE) / VLOOKUP("LULUCF|SO2|Infant mortality", US_national_yearly!$D:$AM, 10, FALSE), 1)</f>
        <v>1.4254307188982447E-7</v>
      </c>
      <c r="S3" s="7">
        <f>$B3 * IFERROR(VLOOKUP("LULUCF|SO2|Infant mortality", US_national_yearly!$D:$AM, 27, FALSE) / VLOOKUP("LULUCF|SO2|Infant mortality", US_national_yearly!$D:$AM, 10, FALSE), 1)</f>
        <v>1.4180041875354734E-7</v>
      </c>
      <c r="T3" s="7">
        <f>$B3 * IFERROR(VLOOKUP("LULUCF|SO2|Infant mortality", US_national_yearly!$D:$AM, 28, FALSE) / VLOOKUP("LULUCF|SO2|Infant mortality", US_national_yearly!$D:$AM, 10, FALSE), 1)</f>
        <v>1.4105776561727022E-7</v>
      </c>
      <c r="U3" s="7">
        <f>$B3 * IFERROR(VLOOKUP("LULUCF|SO2|Infant mortality", US_national_yearly!$D:$AM, 29, FALSE) / VLOOKUP("LULUCF|SO2|Infant mortality", US_national_yearly!$D:$AM, 10, FALSE), 1)</f>
        <v>1.4031511248099306E-7</v>
      </c>
      <c r="V3" s="7">
        <f>$B3 * IFERROR(VLOOKUP("LULUCF|SO2|Infant mortality", US_national_yearly!$D:$AM, 30, FALSE) / VLOOKUP("LULUCF|SO2|Infant mortality", US_national_yearly!$D:$AM, 10, FALSE), 1)</f>
        <v>1.3957245934471596E-7</v>
      </c>
      <c r="W3" s="7">
        <f>$B3 * IFERROR(VLOOKUP("LULUCF|SO2|Infant mortality", US_national_yearly!$D:$AM, 31, FALSE) / VLOOKUP("LULUCF|SO2|Infant mortality", US_national_yearly!$D:$AM, 10, FALSE), 1)</f>
        <v>1.3882980620843881E-7</v>
      </c>
      <c r="X3" s="7">
        <f>$B3 * IFERROR(VLOOKUP("LULUCF|SO2|Infant mortality", US_national_yearly!$D:$AM, 32, FALSE) / VLOOKUP("LULUCF|SO2|Infant mortality", US_national_yearly!$D:$AM, 10, FALSE), 1)</f>
        <v>1.3801785709420573E-7</v>
      </c>
      <c r="Y3" s="7">
        <f>$B3 * IFERROR(VLOOKUP("LULUCF|SO2|Infant mortality", US_national_yearly!$D:$AM, 33, FALSE) / VLOOKUP("LULUCF|SO2|Infant mortality", US_national_yearly!$D:$AM, 10, FALSE), 1)</f>
        <v>1.372059079799726E-7</v>
      </c>
      <c r="Z3" s="7">
        <f>$B3 * IFERROR(VLOOKUP("LULUCF|SO2|Infant mortality", US_national_yearly!$D:$AM, 34, FALSE) / VLOOKUP("LULUCF|SO2|Infant mortality", US_national_yearly!$D:$AM, 10, FALSE), 1)</f>
        <v>1.3639395886573949E-7</v>
      </c>
      <c r="AA3" s="7">
        <f>$B3 * IFERROR(VLOOKUP("LULUCF|SO2|Infant mortality", US_national_yearly!$D:$AM, 35, FALSE) / VLOOKUP("LULUCF|SO2|Infant mortality", US_national_yearly!$D:$AM, 10, FALSE), 1)</f>
        <v>1.3558200975150635E-7</v>
      </c>
      <c r="AB3" s="7">
        <f>$B3 * IFERROR(VLOOKUP("LULUCF|SO2|Infant mortality", US_national_yearly!$D:$AM, 36, FALSE) / VLOOKUP("LULUCF|SO2|Infant mortality", US_national_yearly!$D:$AM, 10, FALSE), 1)</f>
        <v>1.3477006063727327E-7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4.4543618051019447E-4</v>
      </c>
      <c r="C6" s="7">
        <f>$B6 * IFERROR(VLOOKUP("LULUCF|SO2|Asthma symptoms cough", US_national_yearly!$D:$AM, 11, FALSE) / VLOOKUP("LULUCF|SO2|Asthma symptoms cough", US_national_yearly!$D:$AM, 10, FALSE), 1)</f>
        <v>4.4543618051019447E-4</v>
      </c>
      <c r="D6" s="7">
        <f>$B6 * IFERROR(VLOOKUP("LULUCF|SO2|Asthma symptoms cough", US_national_yearly!$D:$AM, 12, FALSE) / VLOOKUP("LULUCF|SO2|Asthma symptoms cough", US_national_yearly!$D:$AM, 10, FALSE), 1)</f>
        <v>4.4543618051019447E-4</v>
      </c>
      <c r="E6" s="7">
        <f>$B6 * IFERROR(VLOOKUP("LULUCF|SO2|Asthma symptoms cough", US_national_yearly!$D:$AM, 13, FALSE) / VLOOKUP("LULUCF|SO2|Asthma symptoms cough", US_national_yearly!$D:$AM, 10, FALSE), 1)</f>
        <v>4.4543618051019447E-4</v>
      </c>
      <c r="F6" s="7">
        <f>$B6 * IFERROR(VLOOKUP("LULUCF|SO2|Asthma symptoms cough", US_national_yearly!$D:$AM, 14, FALSE) / VLOOKUP("LULUCF|SO2|Asthma symptoms cough", US_national_yearly!$D:$AM, 10, FALSE), 1)</f>
        <v>4.4543618051019447E-4</v>
      </c>
      <c r="G6" s="7">
        <f>$B6 * IFERROR(VLOOKUP("LULUCF|SO2|Asthma symptoms cough", US_national_yearly!$D:$AM, 15, FALSE) / VLOOKUP("LULUCF|SO2|Asthma symptoms cough", US_national_yearly!$D:$AM, 10, FALSE), 1)</f>
        <v>4.4543618051019447E-4</v>
      </c>
      <c r="H6" s="7">
        <f>$B6 * IFERROR(VLOOKUP("LULUCF|SO2|Asthma symptoms cough", US_national_yearly!$D:$AM, 16, FALSE) / VLOOKUP("LULUCF|SO2|Asthma symptoms cough", US_national_yearly!$D:$AM, 10, FALSE), 1)</f>
        <v>4.4543618051019447E-4</v>
      </c>
      <c r="I6" s="7">
        <f>$B6 * IFERROR(VLOOKUP("LULUCF|SO2|Asthma symptoms cough", US_national_yearly!$D:$AM, 17, FALSE) / VLOOKUP("LULUCF|SO2|Asthma symptoms cough", US_national_yearly!$D:$AM, 10, FALSE), 1)</f>
        <v>4.4543618051019447E-4</v>
      </c>
      <c r="J6" s="7">
        <f>$B6 * IFERROR(VLOOKUP("LULUCF|SO2|Asthma symptoms cough", US_national_yearly!$D:$AM, 18, FALSE) / VLOOKUP("LULUCF|SO2|Asthma symptoms cough", US_national_yearly!$D:$AM, 10, FALSE), 1)</f>
        <v>4.4543618051019447E-4</v>
      </c>
      <c r="K6" s="7">
        <f>$B6 * IFERROR(VLOOKUP("LULUCF|SO2|Asthma symptoms cough", US_national_yearly!$D:$AM, 19, FALSE) / VLOOKUP("LULUCF|SO2|Asthma symptoms cough", US_national_yearly!$D:$AM, 10, FALSE), 1)</f>
        <v>4.4543618051019447E-4</v>
      </c>
      <c r="L6" s="7">
        <f>$B6 * IFERROR(VLOOKUP("LULUCF|SO2|Asthma symptoms cough", US_national_yearly!$D:$AM, 20, FALSE) / VLOOKUP("LULUCF|SO2|Asthma symptoms cough", US_national_yearly!$D:$AM, 10, FALSE), 1)</f>
        <v>4.4543618051019447E-4</v>
      </c>
      <c r="M6" s="7">
        <f>$B6 * IFERROR(VLOOKUP("LULUCF|SO2|Asthma symptoms cough", US_national_yearly!$D:$AM, 21, FALSE) / VLOOKUP("LULUCF|SO2|Asthma symptoms cough", US_national_yearly!$D:$AM, 10, FALSE), 1)</f>
        <v>4.4543618051019447E-4</v>
      </c>
      <c r="N6" s="7">
        <f>$B6 * IFERROR(VLOOKUP("LULUCF|SO2|Asthma symptoms cough", US_national_yearly!$D:$AM, 22, FALSE) / VLOOKUP("LULUCF|SO2|Asthma symptoms cough", US_national_yearly!$D:$AM, 10, FALSE), 1)</f>
        <v>4.4543618051019447E-4</v>
      </c>
      <c r="O6" s="7">
        <f>$B6 * IFERROR(VLOOKUP("LULUCF|SO2|Asthma symptoms cough", US_national_yearly!$D:$AM, 23, FALSE) / VLOOKUP("LULUCF|SO2|Asthma symptoms cough", US_national_yearly!$D:$AM, 10, FALSE), 1)</f>
        <v>4.4543618051019447E-4</v>
      </c>
      <c r="P6" s="7">
        <f>$B6 * IFERROR(VLOOKUP("LULUCF|SO2|Asthma symptoms cough", US_national_yearly!$D:$AM, 24, FALSE) / VLOOKUP("LULUCF|SO2|Asthma symptoms cough", US_national_yearly!$D:$AM, 10, FALSE), 1)</f>
        <v>4.4543618051019447E-4</v>
      </c>
      <c r="Q6" s="7">
        <f>$B6 * IFERROR(VLOOKUP("LULUCF|SO2|Asthma symptoms cough", US_national_yearly!$D:$AM, 25, FALSE) / VLOOKUP("LULUCF|SO2|Asthma symptoms cough", US_national_yearly!$D:$AM, 10, FALSE), 1)</f>
        <v>4.4543618051019447E-4</v>
      </c>
      <c r="R6" s="7">
        <f>$B6 * IFERROR(VLOOKUP("LULUCF|SO2|Asthma symptoms cough", US_national_yearly!$D:$AM, 26, FALSE) / VLOOKUP("LULUCF|SO2|Asthma symptoms cough", US_national_yearly!$D:$AM, 10, FALSE), 1)</f>
        <v>4.4543618051019447E-4</v>
      </c>
      <c r="S6" s="7">
        <f>$B6 * IFERROR(VLOOKUP("LULUCF|SO2|Asthma symptoms cough", US_national_yearly!$D:$AM, 27, FALSE) / VLOOKUP("LULUCF|SO2|Asthma symptoms cough", US_national_yearly!$D:$AM, 10, FALSE), 1)</f>
        <v>4.4543618051019447E-4</v>
      </c>
      <c r="T6" s="7">
        <f>$B6 * IFERROR(VLOOKUP("LULUCF|SO2|Asthma symptoms cough", US_national_yearly!$D:$AM, 28, FALSE) / VLOOKUP("LULUCF|SO2|Asthma symptoms cough", US_national_yearly!$D:$AM, 10, FALSE), 1)</f>
        <v>4.4543618051019447E-4</v>
      </c>
      <c r="U6" s="7">
        <f>$B6 * IFERROR(VLOOKUP("LULUCF|SO2|Asthma symptoms cough", US_national_yearly!$D:$AM, 29, FALSE) / VLOOKUP("LULUCF|SO2|Asthma symptoms cough", US_national_yearly!$D:$AM, 10, FALSE), 1)</f>
        <v>4.4543618051019447E-4</v>
      </c>
      <c r="V6" s="7">
        <f>$B6 * IFERROR(VLOOKUP("LULUCF|SO2|Asthma symptoms cough", US_national_yearly!$D:$AM, 30, FALSE) / VLOOKUP("LULUCF|SO2|Asthma symptoms cough", US_national_yearly!$D:$AM, 10, FALSE), 1)</f>
        <v>4.4543618051019447E-4</v>
      </c>
      <c r="W6" s="7">
        <f>$B6 * IFERROR(VLOOKUP("LULUCF|SO2|Asthma symptoms cough", US_national_yearly!$D:$AM, 31, FALSE) / VLOOKUP("LULUCF|SO2|Asthma symptoms cough", US_national_yearly!$D:$AM, 10, FALSE), 1)</f>
        <v>4.4543618051019447E-4</v>
      </c>
      <c r="X6" s="7">
        <f>$B6 * IFERROR(VLOOKUP("LULUCF|SO2|Asthma symptoms cough", US_national_yearly!$D:$AM, 32, FALSE) / VLOOKUP("LULUCF|SO2|Asthma symptoms cough", US_national_yearly!$D:$AM, 10, FALSE), 1)</f>
        <v>4.4543618051019447E-4</v>
      </c>
      <c r="Y6" s="7">
        <f>$B6 * IFERROR(VLOOKUP("LULUCF|SO2|Asthma symptoms cough", US_national_yearly!$D:$AM, 33, FALSE) / VLOOKUP("LULUCF|SO2|Asthma symptoms cough", US_national_yearly!$D:$AM, 10, FALSE), 1)</f>
        <v>4.4543618051019447E-4</v>
      </c>
      <c r="Z6" s="7">
        <f>$B6 * IFERROR(VLOOKUP("LULUCF|SO2|Asthma symptoms cough", US_national_yearly!$D:$AM, 34, FALSE) / VLOOKUP("LULUCF|SO2|Asthma symptoms cough", US_national_yearly!$D:$AM, 10, FALSE), 1)</f>
        <v>4.4543618051019447E-4</v>
      </c>
      <c r="AA6" s="7">
        <f>$B6 * IFERROR(VLOOKUP("LULUCF|SO2|Asthma symptoms cough", US_national_yearly!$D:$AM, 35, FALSE) / VLOOKUP("LULUCF|SO2|Asthma symptoms cough", US_national_yearly!$D:$AM, 10, FALSE), 1)</f>
        <v>4.4543618051019447E-4</v>
      </c>
      <c r="AB6" s="7">
        <f>$B6 * IFERROR(VLOOKUP("LULUCF|SO2|Asthma symptoms cough", US_national_yearly!$D:$AM, 36, FALSE) / VLOOKUP("LULUCF|SO2|Asthma symptoms cough", US_national_yearly!$D:$AM, 10, FALSE), 1)</f>
        <v>4.4543618051019447E-4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5.998432534596584E-4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5.998432534596584E-4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5.998432534596584E-4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5.998432534596584E-4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5.998432534596584E-4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5.998432534596584E-4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5.998432534596584E-4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5.998432534596584E-4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5.998432534596584E-4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5.998432534596584E-4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5.998432534596584E-4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5.998432534596584E-4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5.998432534596584E-4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5.998432534596584E-4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5.998432534596584E-4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5.998432534596584E-4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5.998432534596584E-4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5.998432534596584E-4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5.998432534596584E-4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5.998432534596584E-4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5.998432534596584E-4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5.998432534596584E-4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5.998432534596584E-4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5.998432534596584E-4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5.998432534596584E-4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5.998432534596584E-4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5.998432534596584E-4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9.1646310693587786E-4</v>
      </c>
      <c r="C8" s="7">
        <f>$B8 * IFERROR(VLOOKUP("LULUCF|SO2|Asthma symptoms wheeze", US_national_yearly!$D:$AM, 11, FALSE) / VLOOKUP("LULUCF|SO2|Asthma symptoms wheeze", US_national_yearly!$D:$AM, 10, FALSE), 1)</f>
        <v>9.1646310693587786E-4</v>
      </c>
      <c r="D8" s="7">
        <f>$B8 * IFERROR(VLOOKUP("LULUCF|SO2|Asthma symptoms wheeze", US_national_yearly!$D:$AM, 12, FALSE) / VLOOKUP("LULUCF|SO2|Asthma symptoms wheeze", US_national_yearly!$D:$AM, 10, FALSE), 1)</f>
        <v>9.1646310693587786E-4</v>
      </c>
      <c r="E8" s="7">
        <f>$B8 * IFERROR(VLOOKUP("LULUCF|SO2|Asthma symptoms wheeze", US_national_yearly!$D:$AM, 13, FALSE) / VLOOKUP("LULUCF|SO2|Asthma symptoms wheeze", US_national_yearly!$D:$AM, 10, FALSE), 1)</f>
        <v>9.1646310693587786E-4</v>
      </c>
      <c r="F8" s="7">
        <f>$B8 * IFERROR(VLOOKUP("LULUCF|SO2|Asthma symptoms wheeze", US_national_yearly!$D:$AM, 14, FALSE) / VLOOKUP("LULUCF|SO2|Asthma symptoms wheeze", US_national_yearly!$D:$AM, 10, FALSE), 1)</f>
        <v>9.1646310693587786E-4</v>
      </c>
      <c r="G8" s="7">
        <f>$B8 * IFERROR(VLOOKUP("LULUCF|SO2|Asthma symptoms wheeze", US_national_yearly!$D:$AM, 15, FALSE) / VLOOKUP("LULUCF|SO2|Asthma symptoms wheeze", US_national_yearly!$D:$AM, 10, FALSE), 1)</f>
        <v>9.1646310693587786E-4</v>
      </c>
      <c r="H8" s="7">
        <f>$B8 * IFERROR(VLOOKUP("LULUCF|SO2|Asthma symptoms wheeze", US_national_yearly!$D:$AM, 16, FALSE) / VLOOKUP("LULUCF|SO2|Asthma symptoms wheeze", US_national_yearly!$D:$AM, 10, FALSE), 1)</f>
        <v>9.1646310693587786E-4</v>
      </c>
      <c r="I8" s="7">
        <f>$B8 * IFERROR(VLOOKUP("LULUCF|SO2|Asthma symptoms wheeze", US_national_yearly!$D:$AM, 17, FALSE) / VLOOKUP("LULUCF|SO2|Asthma symptoms wheeze", US_national_yearly!$D:$AM, 10, FALSE), 1)</f>
        <v>9.1646310693587786E-4</v>
      </c>
      <c r="J8" s="7">
        <f>$B8 * IFERROR(VLOOKUP("LULUCF|SO2|Asthma symptoms wheeze", US_national_yearly!$D:$AM, 18, FALSE) / VLOOKUP("LULUCF|SO2|Asthma symptoms wheeze", US_national_yearly!$D:$AM, 10, FALSE), 1)</f>
        <v>9.1646310693587786E-4</v>
      </c>
      <c r="K8" s="7">
        <f>$B8 * IFERROR(VLOOKUP("LULUCF|SO2|Asthma symptoms wheeze", US_national_yearly!$D:$AM, 19, FALSE) / VLOOKUP("LULUCF|SO2|Asthma symptoms wheeze", US_national_yearly!$D:$AM, 10, FALSE), 1)</f>
        <v>9.1646310693587786E-4</v>
      </c>
      <c r="L8" s="7">
        <f>$B8 * IFERROR(VLOOKUP("LULUCF|SO2|Asthma symptoms wheeze", US_national_yearly!$D:$AM, 20, FALSE) / VLOOKUP("LULUCF|SO2|Asthma symptoms wheeze", US_national_yearly!$D:$AM, 10, FALSE), 1)</f>
        <v>9.1646310693587786E-4</v>
      </c>
      <c r="M8" s="7">
        <f>$B8 * IFERROR(VLOOKUP("LULUCF|SO2|Asthma symptoms wheeze", US_national_yearly!$D:$AM, 21, FALSE) / VLOOKUP("LULUCF|SO2|Asthma symptoms wheeze", US_national_yearly!$D:$AM, 10, FALSE), 1)</f>
        <v>9.1646310693587786E-4</v>
      </c>
      <c r="N8" s="7">
        <f>$B8 * IFERROR(VLOOKUP("LULUCF|SO2|Asthma symptoms wheeze", US_national_yearly!$D:$AM, 22, FALSE) / VLOOKUP("LULUCF|SO2|Asthma symptoms wheeze", US_national_yearly!$D:$AM, 10, FALSE), 1)</f>
        <v>9.1646310693587786E-4</v>
      </c>
      <c r="O8" s="7">
        <f>$B8 * IFERROR(VLOOKUP("LULUCF|SO2|Asthma symptoms wheeze", US_national_yearly!$D:$AM, 23, FALSE) / VLOOKUP("LULUCF|SO2|Asthma symptoms wheeze", US_national_yearly!$D:$AM, 10, FALSE), 1)</f>
        <v>9.1646310693587786E-4</v>
      </c>
      <c r="P8" s="7">
        <f>$B8 * IFERROR(VLOOKUP("LULUCF|SO2|Asthma symptoms wheeze", US_national_yearly!$D:$AM, 24, FALSE) / VLOOKUP("LULUCF|SO2|Asthma symptoms wheeze", US_national_yearly!$D:$AM, 10, FALSE), 1)</f>
        <v>9.1646310693587786E-4</v>
      </c>
      <c r="Q8" s="7">
        <f>$B8 * IFERROR(VLOOKUP("LULUCF|SO2|Asthma symptoms wheeze", US_national_yearly!$D:$AM, 25, FALSE) / VLOOKUP("LULUCF|SO2|Asthma symptoms wheeze", US_national_yearly!$D:$AM, 10, FALSE), 1)</f>
        <v>9.1646310693587786E-4</v>
      </c>
      <c r="R8" s="7">
        <f>$B8 * IFERROR(VLOOKUP("LULUCF|SO2|Asthma symptoms wheeze", US_national_yearly!$D:$AM, 26, FALSE) / VLOOKUP("LULUCF|SO2|Asthma symptoms wheeze", US_national_yearly!$D:$AM, 10, FALSE), 1)</f>
        <v>9.1646310693587786E-4</v>
      </c>
      <c r="S8" s="7">
        <f>$B8 * IFERROR(VLOOKUP("LULUCF|SO2|Asthma symptoms wheeze", US_national_yearly!$D:$AM, 27, FALSE) / VLOOKUP("LULUCF|SO2|Asthma symptoms wheeze", US_national_yearly!$D:$AM, 10, FALSE), 1)</f>
        <v>9.1646310693587786E-4</v>
      </c>
      <c r="T8" s="7">
        <f>$B8 * IFERROR(VLOOKUP("LULUCF|SO2|Asthma symptoms wheeze", US_national_yearly!$D:$AM, 28, FALSE) / VLOOKUP("LULUCF|SO2|Asthma symptoms wheeze", US_national_yearly!$D:$AM, 10, FALSE), 1)</f>
        <v>9.1646310693587786E-4</v>
      </c>
      <c r="U8" s="7">
        <f>$B8 * IFERROR(VLOOKUP("LULUCF|SO2|Asthma symptoms wheeze", US_national_yearly!$D:$AM, 29, FALSE) / VLOOKUP("LULUCF|SO2|Asthma symptoms wheeze", US_national_yearly!$D:$AM, 10, FALSE), 1)</f>
        <v>9.1646310693587786E-4</v>
      </c>
      <c r="V8" s="7">
        <f>$B8 * IFERROR(VLOOKUP("LULUCF|SO2|Asthma symptoms wheeze", US_national_yearly!$D:$AM, 30, FALSE) / VLOOKUP("LULUCF|SO2|Asthma symptoms wheeze", US_national_yearly!$D:$AM, 10, FALSE), 1)</f>
        <v>9.1646310693587786E-4</v>
      </c>
      <c r="W8" s="7">
        <f>$B8 * IFERROR(VLOOKUP("LULUCF|SO2|Asthma symptoms wheeze", US_national_yearly!$D:$AM, 31, FALSE) / VLOOKUP("LULUCF|SO2|Asthma symptoms wheeze", US_national_yearly!$D:$AM, 10, FALSE), 1)</f>
        <v>9.1646310693587786E-4</v>
      </c>
      <c r="X8" s="7">
        <f>$B8 * IFERROR(VLOOKUP("LULUCF|SO2|Asthma symptoms wheeze", US_national_yearly!$D:$AM, 32, FALSE) / VLOOKUP("LULUCF|SO2|Asthma symptoms wheeze", US_national_yearly!$D:$AM, 10, FALSE), 1)</f>
        <v>9.1646310693587786E-4</v>
      </c>
      <c r="Y8" s="7">
        <f>$B8 * IFERROR(VLOOKUP("LULUCF|SO2|Asthma symptoms wheeze", US_national_yearly!$D:$AM, 33, FALSE) / VLOOKUP("LULUCF|SO2|Asthma symptoms wheeze", US_national_yearly!$D:$AM, 10, FALSE), 1)</f>
        <v>9.1646310693587786E-4</v>
      </c>
      <c r="Z8" s="7">
        <f>$B8 * IFERROR(VLOOKUP("LULUCF|SO2|Asthma symptoms wheeze", US_national_yearly!$D:$AM, 34, FALSE) / VLOOKUP("LULUCF|SO2|Asthma symptoms wheeze", US_national_yearly!$D:$AM, 10, FALSE), 1)</f>
        <v>9.1646310693587786E-4</v>
      </c>
      <c r="AA8" s="7">
        <f>$B8 * IFERROR(VLOOKUP("LULUCF|SO2|Asthma symptoms wheeze", US_national_yearly!$D:$AM, 35, FALSE) / VLOOKUP("LULUCF|SO2|Asthma symptoms wheeze", US_national_yearly!$D:$AM, 10, FALSE), 1)</f>
        <v>9.1646310693587786E-4</v>
      </c>
      <c r="AB8" s="7">
        <f>$B8 * IFERROR(VLOOKUP("LULUCF|SO2|Asthma symptoms wheeze", US_national_yearly!$D:$AM, 36, FALSE) / VLOOKUP("LULUCF|SO2|Asthma symptoms wheeze", US_national_yearly!$D:$AM, 10, FALSE), 1)</f>
        <v>9.1646310693587786E-4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1.6445956619287602E-5</v>
      </c>
      <c r="C12" s="7">
        <f>$B12 * IFERROR(VLOOKUP("LULUCF|SO2|Respiratory hospital admissions", US_national_yearly!$D:$AM, 11, FALSE) / VLOOKUP("LULUCF|SO2|Respiratory hospital admissions", US_national_yearly!$D:$AM, 10, FALSE), 1)</f>
        <v>1.6542955688708321E-5</v>
      </c>
      <c r="D12" s="7">
        <f>$B12 * IFERROR(VLOOKUP("LULUCF|SO2|Respiratory hospital admissions", US_national_yearly!$D:$AM, 12, FALSE) / VLOOKUP("LULUCF|SO2|Respiratory hospital admissions", US_national_yearly!$D:$AM, 10, FALSE), 1)</f>
        <v>1.6639954758129041E-5</v>
      </c>
      <c r="E12" s="7">
        <f>$B12 * IFERROR(VLOOKUP("LULUCF|SO2|Respiratory hospital admissions", US_national_yearly!$D:$AM, 13, FALSE) / VLOOKUP("LULUCF|SO2|Respiratory hospital admissions", US_national_yearly!$D:$AM, 10, FALSE), 1)</f>
        <v>1.673695382754976E-5</v>
      </c>
      <c r="F12" s="7">
        <f>$B12 * IFERROR(VLOOKUP("LULUCF|SO2|Respiratory hospital admissions", US_national_yearly!$D:$AM, 14, FALSE) / VLOOKUP("LULUCF|SO2|Respiratory hospital admissions", US_national_yearly!$D:$AM, 10, FALSE), 1)</f>
        <v>1.683395289697048E-5</v>
      </c>
      <c r="G12" s="7">
        <f>$B12 * IFERROR(VLOOKUP("LULUCF|SO2|Respiratory hospital admissions", US_national_yearly!$D:$AM, 15, FALSE) / VLOOKUP("LULUCF|SO2|Respiratory hospital admissions", US_national_yearly!$D:$AM, 10, FALSE), 1)</f>
        <v>1.6939698243568591E-5</v>
      </c>
      <c r="H12" s="7">
        <f>$B12 * IFERROR(VLOOKUP("LULUCF|SO2|Respiratory hospital admissions", US_national_yearly!$D:$AM, 16, FALSE) / VLOOKUP("LULUCF|SO2|Respiratory hospital admissions", US_national_yearly!$D:$AM, 10, FALSE), 1)</f>
        <v>1.7045443590166701E-5</v>
      </c>
      <c r="I12" s="7">
        <f>$B12 * IFERROR(VLOOKUP("LULUCF|SO2|Respiratory hospital admissions", US_national_yearly!$D:$AM, 17, FALSE) / VLOOKUP("LULUCF|SO2|Respiratory hospital admissions", US_national_yearly!$D:$AM, 10, FALSE), 1)</f>
        <v>1.7149721092390183E-5</v>
      </c>
      <c r="J12" s="7">
        <f>$B12 * IFERROR(VLOOKUP("LULUCF|SO2|Respiratory hospital admissions", US_national_yearly!$D:$AM, 18, FALSE) / VLOOKUP("LULUCF|SO2|Respiratory hospital admissions", US_national_yearly!$D:$AM, 10, FALSE), 1)</f>
        <v>1.7253998594613672E-5</v>
      </c>
      <c r="K12" s="7">
        <f>$B12 * IFERROR(VLOOKUP("LULUCF|SO2|Respiratory hospital admissions", US_national_yearly!$D:$AM, 19, FALSE) / VLOOKUP("LULUCF|SO2|Respiratory hospital admissions", US_national_yearly!$D:$AM, 10, FALSE), 1)</f>
        <v>1.7358276096837151E-5</v>
      </c>
      <c r="L12" s="7">
        <f>$B12 * IFERROR(VLOOKUP("LULUCF|SO2|Respiratory hospital admissions", US_national_yearly!$D:$AM, 20, FALSE) / VLOOKUP("LULUCF|SO2|Respiratory hospital admissions", US_national_yearly!$D:$AM, 10, FALSE), 1)</f>
        <v>1.7462553599060639E-5</v>
      </c>
      <c r="M12" s="7">
        <f>$B12 * IFERROR(VLOOKUP("LULUCF|SO2|Respiratory hospital admissions", US_national_yearly!$D:$AM, 21, FALSE) / VLOOKUP("LULUCF|SO2|Respiratory hospital admissions", US_national_yearly!$D:$AM, 10, FALSE), 1)</f>
        <v>1.7566831101284118E-5</v>
      </c>
      <c r="N12" s="7">
        <f>$B12 * IFERROR(VLOOKUP("LULUCF|SO2|Respiratory hospital admissions", US_national_yearly!$D:$AM, 22, FALSE) / VLOOKUP("LULUCF|SO2|Respiratory hospital admissions", US_national_yearly!$D:$AM, 10, FALSE), 1)</f>
        <v>1.7642950459007002E-5</v>
      </c>
      <c r="O12" s="7">
        <f>$B12 * IFERROR(VLOOKUP("LULUCF|SO2|Respiratory hospital admissions", US_national_yearly!$D:$AM, 23, FALSE) / VLOOKUP("LULUCF|SO2|Respiratory hospital admissions", US_national_yearly!$D:$AM, 10, FALSE), 1)</f>
        <v>1.7719069816729879E-5</v>
      </c>
      <c r="P12" s="7">
        <f>$B12 * IFERROR(VLOOKUP("LULUCF|SO2|Respiratory hospital admissions", US_national_yearly!$D:$AM, 24, FALSE) / VLOOKUP("LULUCF|SO2|Respiratory hospital admissions", US_national_yearly!$D:$AM, 10, FALSE), 1)</f>
        <v>1.779518917445276E-5</v>
      </c>
      <c r="Q12" s="7">
        <f>$B12 * IFERROR(VLOOKUP("LULUCF|SO2|Respiratory hospital admissions", US_national_yearly!$D:$AM, 25, FALSE) / VLOOKUP("LULUCF|SO2|Respiratory hospital admissions", US_national_yearly!$D:$AM, 10, FALSE), 1)</f>
        <v>1.787130853217564E-5</v>
      </c>
      <c r="R12" s="7">
        <f>$B12 * IFERROR(VLOOKUP("LULUCF|SO2|Respiratory hospital admissions", US_national_yearly!$D:$AM, 26, FALSE) / VLOOKUP("LULUCF|SO2|Respiratory hospital admissions", US_national_yearly!$D:$AM, 10, FALSE), 1)</f>
        <v>1.7947427889898521E-5</v>
      </c>
      <c r="S12" s="7">
        <f>$B12 * IFERROR(VLOOKUP("LULUCF|SO2|Respiratory hospital admissions", US_national_yearly!$D:$AM, 27, FALSE) / VLOOKUP("LULUCF|SO2|Respiratory hospital admissions", US_national_yearly!$D:$AM, 10, FALSE), 1)</f>
        <v>1.8020039949095264E-5</v>
      </c>
      <c r="T12" s="7">
        <f>$B12 * IFERROR(VLOOKUP("LULUCF|SO2|Respiratory hospital admissions", US_national_yearly!$D:$AM, 28, FALSE) / VLOOKUP("LULUCF|SO2|Respiratory hospital admissions", US_national_yearly!$D:$AM, 10, FALSE), 1)</f>
        <v>1.8092652008292001E-5</v>
      </c>
      <c r="U12" s="7">
        <f>$B12 * IFERROR(VLOOKUP("LULUCF|SO2|Respiratory hospital admissions", US_national_yearly!$D:$AM, 29, FALSE) / VLOOKUP("LULUCF|SO2|Respiratory hospital admissions", US_national_yearly!$D:$AM, 10, FALSE), 1)</f>
        <v>1.8165264067488745E-5</v>
      </c>
      <c r="V12" s="7">
        <f>$B12 * IFERROR(VLOOKUP("LULUCF|SO2|Respiratory hospital admissions", US_national_yearly!$D:$AM, 30, FALSE) / VLOOKUP("LULUCF|SO2|Respiratory hospital admissions", US_national_yearly!$D:$AM, 10, FALSE), 1)</f>
        <v>1.8237876126685488E-5</v>
      </c>
      <c r="W12" s="7">
        <f>$B12 * IFERROR(VLOOKUP("LULUCF|SO2|Respiratory hospital admissions", US_national_yearly!$D:$AM, 31, FALSE) / VLOOKUP("LULUCF|SO2|Respiratory hospital admissions", US_national_yearly!$D:$AM, 10, FALSE), 1)</f>
        <v>1.8310488185882231E-5</v>
      </c>
      <c r="X12" s="7">
        <f>$B12 * IFERROR(VLOOKUP("LULUCF|SO2|Respiratory hospital admissions", US_national_yearly!$D:$AM, 32, FALSE) / VLOOKUP("LULUCF|SO2|Respiratory hospital admissions", US_national_yearly!$D:$AM, 10, FALSE), 1)</f>
        <v>1.837938510857656E-5</v>
      </c>
      <c r="Y12" s="7">
        <f>$B12 * IFERROR(VLOOKUP("LULUCF|SO2|Respiratory hospital admissions", US_national_yearly!$D:$AM, 33, FALSE) / VLOOKUP("LULUCF|SO2|Respiratory hospital admissions", US_national_yearly!$D:$AM, 10, FALSE), 1)</f>
        <v>1.8448282031270893E-5</v>
      </c>
      <c r="Z12" s="7">
        <f>$B12 * IFERROR(VLOOKUP("LULUCF|SO2|Respiratory hospital admissions", US_national_yearly!$D:$AM, 34, FALSE) / VLOOKUP("LULUCF|SO2|Respiratory hospital admissions", US_national_yearly!$D:$AM, 10, FALSE), 1)</f>
        <v>1.8517178953965225E-5</v>
      </c>
      <c r="AA12" s="7">
        <f>$B12 * IFERROR(VLOOKUP("LULUCF|SO2|Respiratory hospital admissions", US_national_yearly!$D:$AM, 35, FALSE) / VLOOKUP("LULUCF|SO2|Respiratory hospital admissions", US_national_yearly!$D:$AM, 10, FALSE), 1)</f>
        <v>1.8586075876659557E-5</v>
      </c>
      <c r="AB12" s="7">
        <f>$B12 * IFERROR(VLOOKUP("LULUCF|SO2|Respiratory hospital admissions", US_national_yearly!$D:$AM, 36, FALSE) / VLOOKUP("LULUCF|SO2|Respiratory hospital admissions", US_national_yearly!$D:$AM, 10, FALSE), 1)</f>
        <v>1.865497279935389E-5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8.9864805058869292E-5</v>
      </c>
      <c r="C13" s="7">
        <f>$B13 * IFERROR(VLOOKUP("LULUCF|SO2|Non-fatal heart attacks", US_national_yearly!$D:$AM, 11, FALSE) / VLOOKUP("LULUCF|SO2|Non-fatal heart attacks", US_national_yearly!$D:$AM, 10, FALSE), 1)</f>
        <v>9.2502909328528576E-5</v>
      </c>
      <c r="D13" s="7">
        <f>$B13 * IFERROR(VLOOKUP("LULUCF|SO2|Non-fatal heart attacks", US_national_yearly!$D:$AM, 12, FALSE) / VLOOKUP("LULUCF|SO2|Non-fatal heart attacks", US_national_yearly!$D:$AM, 10, FALSE), 1)</f>
        <v>9.5141013598187872E-5</v>
      </c>
      <c r="E13" s="7">
        <f>$B13 * IFERROR(VLOOKUP("LULUCF|SO2|Non-fatal heart attacks", US_national_yearly!$D:$AM, 13, FALSE) / VLOOKUP("LULUCF|SO2|Non-fatal heart attacks", US_national_yearly!$D:$AM, 10, FALSE), 1)</f>
        <v>9.7779117867847156E-5</v>
      </c>
      <c r="F13" s="7">
        <f>$B13 * IFERROR(VLOOKUP("LULUCF|SO2|Non-fatal heart attacks", US_national_yearly!$D:$AM, 14, FALSE) / VLOOKUP("LULUCF|SO2|Non-fatal heart attacks", US_national_yearly!$D:$AM, 10, FALSE), 1)</f>
        <v>1.0041722213750643E-4</v>
      </c>
      <c r="G13" s="7">
        <f>$B13 * IFERROR(VLOOKUP("LULUCF|SO2|Non-fatal heart attacks", US_national_yearly!$D:$AM, 15, FALSE) / VLOOKUP("LULUCF|SO2|Non-fatal heart attacks", US_national_yearly!$D:$AM, 10, FALSE), 1)</f>
        <v>1.0290519916291478E-4</v>
      </c>
      <c r="H13" s="7">
        <f>$B13 * IFERROR(VLOOKUP("LULUCF|SO2|Non-fatal heart attacks", US_national_yearly!$D:$AM, 16, FALSE) / VLOOKUP("LULUCF|SO2|Non-fatal heart attacks", US_national_yearly!$D:$AM, 10, FALSE), 1)</f>
        <v>1.0539317618832313E-4</v>
      </c>
      <c r="I13" s="7">
        <f>$B13 * IFERROR(VLOOKUP("LULUCF|SO2|Non-fatal heart attacks", US_national_yearly!$D:$AM, 17, FALSE) / VLOOKUP("LULUCF|SO2|Non-fatal heart attacks", US_national_yearly!$D:$AM, 10, FALSE), 1)</f>
        <v>1.0739521774905109E-4</v>
      </c>
      <c r="J13" s="7">
        <f>$B13 * IFERROR(VLOOKUP("LULUCF|SO2|Non-fatal heart attacks", US_national_yearly!$D:$AM, 18, FALSE) / VLOOKUP("LULUCF|SO2|Non-fatal heart attacks", US_national_yearly!$D:$AM, 10, FALSE), 1)</f>
        <v>1.0939725930977905E-4</v>
      </c>
      <c r="K13" s="7">
        <f>$B13 * IFERROR(VLOOKUP("LULUCF|SO2|Non-fatal heart attacks", US_national_yearly!$D:$AM, 19, FALSE) / VLOOKUP("LULUCF|SO2|Non-fatal heart attacks", US_national_yearly!$D:$AM, 10, FALSE), 1)</f>
        <v>1.11399300870507E-4</v>
      </c>
      <c r="L13" s="7">
        <f>$B13 * IFERROR(VLOOKUP("LULUCF|SO2|Non-fatal heart attacks", US_national_yearly!$D:$AM, 20, FALSE) / VLOOKUP("LULUCF|SO2|Non-fatal heart attacks", US_national_yearly!$D:$AM, 10, FALSE), 1)</f>
        <v>1.13401342431235E-4</v>
      </c>
      <c r="M13" s="7">
        <f>$B13 * IFERROR(VLOOKUP("LULUCF|SO2|Non-fatal heart attacks", US_national_yearly!$D:$AM, 21, FALSE) / VLOOKUP("LULUCF|SO2|Non-fatal heart attacks", US_national_yearly!$D:$AM, 10, FALSE), 1)</f>
        <v>1.1540338399196296E-4</v>
      </c>
      <c r="N13" s="7">
        <f>$B13 * IFERROR(VLOOKUP("LULUCF|SO2|Non-fatal heart attacks", US_national_yearly!$D:$AM, 22, FALSE) / VLOOKUP("LULUCF|SO2|Non-fatal heart attacks", US_national_yearly!$D:$AM, 10, FALSE), 1)</f>
        <v>1.1670333376521479E-4</v>
      </c>
      <c r="O13" s="7">
        <f>$B13 * IFERROR(VLOOKUP("LULUCF|SO2|Non-fatal heart attacks", US_national_yearly!$D:$AM, 23, FALSE) / VLOOKUP("LULUCF|SO2|Non-fatal heart attacks", US_national_yearly!$D:$AM, 10, FALSE), 1)</f>
        <v>1.1800328353846666E-4</v>
      </c>
      <c r="P13" s="7">
        <f>$B13 * IFERROR(VLOOKUP("LULUCF|SO2|Non-fatal heart attacks", US_national_yearly!$D:$AM, 24, FALSE) / VLOOKUP("LULUCF|SO2|Non-fatal heart attacks", US_national_yearly!$D:$AM, 10, FALSE), 1)</f>
        <v>1.1930323331171853E-4</v>
      </c>
      <c r="Q13" s="7">
        <f>$B13 * IFERROR(VLOOKUP("LULUCF|SO2|Non-fatal heart attacks", US_national_yearly!$D:$AM, 25, FALSE) / VLOOKUP("LULUCF|SO2|Non-fatal heart attacks", US_national_yearly!$D:$AM, 10, FALSE), 1)</f>
        <v>1.2060318308497037E-4</v>
      </c>
      <c r="R13" s="7">
        <f>$B13 * IFERROR(VLOOKUP("LULUCF|SO2|Non-fatal heart attacks", US_national_yearly!$D:$AM, 26, FALSE) / VLOOKUP("LULUCF|SO2|Non-fatal heart attacks", US_national_yearly!$D:$AM, 10, FALSE), 1)</f>
        <v>1.2190313285822221E-4</v>
      </c>
      <c r="S13" s="7">
        <f>$B13 * IFERROR(VLOOKUP("LULUCF|SO2|Non-fatal heart attacks", US_national_yearly!$D:$AM, 27, FALSE) / VLOOKUP("LULUCF|SO2|Non-fatal heart attacks", US_national_yearly!$D:$AM, 10, FALSE), 1)</f>
        <v>1.2258182932289378E-4</v>
      </c>
      <c r="T13" s="7">
        <f>$B13 * IFERROR(VLOOKUP("LULUCF|SO2|Non-fatal heart attacks", US_national_yearly!$D:$AM, 28, FALSE) / VLOOKUP("LULUCF|SO2|Non-fatal heart attacks", US_national_yearly!$D:$AM, 10, FALSE), 1)</f>
        <v>1.2326052578756532E-4</v>
      </c>
      <c r="U13" s="7">
        <f>$B13 * IFERROR(VLOOKUP("LULUCF|SO2|Non-fatal heart attacks", US_national_yearly!$D:$AM, 29, FALSE) / VLOOKUP("LULUCF|SO2|Non-fatal heart attacks", US_national_yearly!$D:$AM, 10, FALSE), 1)</f>
        <v>1.2393922225223684E-4</v>
      </c>
      <c r="V13" s="7">
        <f>$B13 * IFERROR(VLOOKUP("LULUCF|SO2|Non-fatal heart attacks", US_national_yearly!$D:$AM, 30, FALSE) / VLOOKUP("LULUCF|SO2|Non-fatal heart attacks", US_national_yearly!$D:$AM, 10, FALSE), 1)</f>
        <v>1.2461791871690839E-4</v>
      </c>
      <c r="W13" s="7">
        <f>$B13 * IFERROR(VLOOKUP("LULUCF|SO2|Non-fatal heart attacks", US_national_yearly!$D:$AM, 31, FALSE) / VLOOKUP("LULUCF|SO2|Non-fatal heart attacks", US_national_yearly!$D:$AM, 10, FALSE), 1)</f>
        <v>1.2529661518157997E-4</v>
      </c>
      <c r="X13" s="7">
        <f>$B13 * IFERROR(VLOOKUP("LULUCF|SO2|Non-fatal heart attacks", US_national_yearly!$D:$AM, 32, FALSE) / VLOOKUP("LULUCF|SO2|Non-fatal heart attacks", US_national_yearly!$D:$AM, 10, FALSE), 1)</f>
        <v>1.2580897164421342E-4</v>
      </c>
      <c r="Y13" s="7">
        <f>$B13 * IFERROR(VLOOKUP("LULUCF|SO2|Non-fatal heart attacks", US_national_yearly!$D:$AM, 33, FALSE) / VLOOKUP("LULUCF|SO2|Non-fatal heart attacks", US_national_yearly!$D:$AM, 10, FALSE), 1)</f>
        <v>1.2632132810684688E-4</v>
      </c>
      <c r="Z13" s="7">
        <f>$B13 * IFERROR(VLOOKUP("LULUCF|SO2|Non-fatal heart attacks", US_national_yearly!$D:$AM, 34, FALSE) / VLOOKUP("LULUCF|SO2|Non-fatal heart attacks", US_national_yearly!$D:$AM, 10, FALSE), 1)</f>
        <v>1.2683368456948036E-4</v>
      </c>
      <c r="AA13" s="7">
        <f>$B13 * IFERROR(VLOOKUP("LULUCF|SO2|Non-fatal heart attacks", US_national_yearly!$D:$AM, 35, FALSE) / VLOOKUP("LULUCF|SO2|Non-fatal heart attacks", US_national_yearly!$D:$AM, 10, FALSE), 1)</f>
        <v>1.2734604103211382E-4</v>
      </c>
      <c r="AB13" s="7">
        <f>$B13 * IFERROR(VLOOKUP("LULUCF|SO2|Non-fatal heart attacks", US_national_yearly!$D:$AM, 36, FALSE) / VLOOKUP("LULUCF|SO2|Non-fatal heart attacks", US_national_yearly!$D:$AM, 10, FALSE), 1)</f>
        <v>1.2785839749474728E-4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5.5318857754985955E-2</v>
      </c>
      <c r="C14" s="7">
        <f>$B14 * IFERROR(VLOOKUP("LULUCF|SO2|Minor restricted activity days", US_national_yearly!$D:$AM, 11, FALSE) / VLOOKUP("LULUCF|SO2|Minor restricted activity days", US_national_yearly!$D:$AM, 10, FALSE), 1)</f>
        <v>5.5458298163567586E-2</v>
      </c>
      <c r="D14" s="7">
        <f>$B14 * IFERROR(VLOOKUP("LULUCF|SO2|Minor restricted activity days", US_national_yearly!$D:$AM, 12, FALSE) / VLOOKUP("LULUCF|SO2|Minor restricted activity days", US_national_yearly!$D:$AM, 10, FALSE), 1)</f>
        <v>5.5597738572149204E-2</v>
      </c>
      <c r="E14" s="7">
        <f>$B14 * IFERROR(VLOOKUP("LULUCF|SO2|Minor restricted activity days", US_national_yearly!$D:$AM, 13, FALSE) / VLOOKUP("LULUCF|SO2|Minor restricted activity days", US_national_yearly!$D:$AM, 10, FALSE), 1)</f>
        <v>5.5737178980730835E-2</v>
      </c>
      <c r="F14" s="7">
        <f>$B14 * IFERROR(VLOOKUP("LULUCF|SO2|Minor restricted activity days", US_national_yearly!$D:$AM, 14, FALSE) / VLOOKUP("LULUCF|SO2|Minor restricted activity days", US_national_yearly!$D:$AM, 10, FALSE), 1)</f>
        <v>5.5876619389312453E-2</v>
      </c>
      <c r="G14" s="7">
        <f>$B14 * IFERROR(VLOOKUP("LULUCF|SO2|Minor restricted activity days", US_national_yearly!$D:$AM, 15, FALSE) / VLOOKUP("LULUCF|SO2|Minor restricted activity days", US_national_yearly!$D:$AM, 10, FALSE), 1)</f>
        <v>5.6081861972042381E-2</v>
      </c>
      <c r="H14" s="7">
        <f>$B14 * IFERROR(VLOOKUP("LULUCF|SO2|Minor restricted activity days", US_national_yearly!$D:$AM, 16, FALSE) / VLOOKUP("LULUCF|SO2|Minor restricted activity days", US_national_yearly!$D:$AM, 10, FALSE), 1)</f>
        <v>5.6287104554772302E-2</v>
      </c>
      <c r="I14" s="7">
        <f>$B14 * IFERROR(VLOOKUP("LULUCF|SO2|Minor restricted activity days", US_national_yearly!$D:$AM, 17, FALSE) / VLOOKUP("LULUCF|SO2|Minor restricted activity days", US_national_yearly!$D:$AM, 10, FALSE), 1)</f>
        <v>5.6637126648768042E-2</v>
      </c>
      <c r="J14" s="7">
        <f>$B14 * IFERROR(VLOOKUP("LULUCF|SO2|Minor restricted activity days", US_national_yearly!$D:$AM, 18, FALSE) / VLOOKUP("LULUCF|SO2|Minor restricted activity days", US_national_yearly!$D:$AM, 10, FALSE), 1)</f>
        <v>5.6987148742763775E-2</v>
      </c>
      <c r="K14" s="7">
        <f>$B14 * IFERROR(VLOOKUP("LULUCF|SO2|Minor restricted activity days", US_national_yearly!$D:$AM, 19, FALSE) / VLOOKUP("LULUCF|SO2|Minor restricted activity days", US_national_yearly!$D:$AM, 10, FALSE), 1)</f>
        <v>5.7337170836759523E-2</v>
      </c>
      <c r="L14" s="7">
        <f>$B14 * IFERROR(VLOOKUP("LULUCF|SO2|Minor restricted activity days", US_national_yearly!$D:$AM, 20, FALSE) / VLOOKUP("LULUCF|SO2|Minor restricted activity days", US_national_yearly!$D:$AM, 10, FALSE), 1)</f>
        <v>5.7687192930755263E-2</v>
      </c>
      <c r="M14" s="7">
        <f>$B14 * IFERROR(VLOOKUP("LULUCF|SO2|Minor restricted activity days", US_national_yearly!$D:$AM, 21, FALSE) / VLOOKUP("LULUCF|SO2|Minor restricted activity days", US_national_yearly!$D:$AM, 10, FALSE), 1)</f>
        <v>5.8037215024750996E-2</v>
      </c>
      <c r="N14" s="7">
        <f>$B14 * IFERROR(VLOOKUP("LULUCF|SO2|Minor restricted activity days", US_national_yearly!$D:$AM, 22, FALSE) / VLOOKUP("LULUCF|SO2|Minor restricted activity days", US_national_yearly!$D:$AM, 10, FALSE), 1)</f>
        <v>5.8515989085149545E-2</v>
      </c>
      <c r="O14" s="7">
        <f>$B14 * IFERROR(VLOOKUP("LULUCF|SO2|Minor restricted activity days", US_national_yearly!$D:$AM, 23, FALSE) / VLOOKUP("LULUCF|SO2|Minor restricted activity days", US_national_yearly!$D:$AM, 10, FALSE), 1)</f>
        <v>5.89947631455481E-2</v>
      </c>
      <c r="P14" s="7">
        <f>$B14 * IFERROR(VLOOKUP("LULUCF|SO2|Minor restricted activity days", US_national_yearly!$D:$AM, 24, FALSE) / VLOOKUP("LULUCF|SO2|Minor restricted activity days", US_national_yearly!$D:$AM, 10, FALSE), 1)</f>
        <v>5.9473537205946649E-2</v>
      </c>
      <c r="Q14" s="7">
        <f>$B14 * IFERROR(VLOOKUP("LULUCF|SO2|Minor restricted activity days", US_national_yearly!$D:$AM, 25, FALSE) / VLOOKUP("LULUCF|SO2|Minor restricted activity days", US_national_yearly!$D:$AM, 10, FALSE), 1)</f>
        <v>5.9952311266345197E-2</v>
      </c>
      <c r="R14" s="7">
        <f>$B14 * IFERROR(VLOOKUP("LULUCF|SO2|Minor restricted activity days", US_national_yearly!$D:$AM, 26, FALSE) / VLOOKUP("LULUCF|SO2|Minor restricted activity days", US_national_yearly!$D:$AM, 10, FALSE), 1)</f>
        <v>6.0431085326743746E-2</v>
      </c>
      <c r="S14" s="7">
        <f>$B14 * IFERROR(VLOOKUP("LULUCF|SO2|Minor restricted activity days", US_national_yearly!$D:$AM, 27, FALSE) / VLOOKUP("LULUCF|SO2|Minor restricted activity days", US_national_yearly!$D:$AM, 10, FALSE), 1)</f>
        <v>6.0919242340816492E-2</v>
      </c>
      <c r="T14" s="7">
        <f>$B14 * IFERROR(VLOOKUP("LULUCF|SO2|Minor restricted activity days", US_national_yearly!$D:$AM, 28, FALSE) / VLOOKUP("LULUCF|SO2|Minor restricted activity days", US_national_yearly!$D:$AM, 10, FALSE), 1)</f>
        <v>6.1407399354889231E-2</v>
      </c>
      <c r="U14" s="7">
        <f>$B14 * IFERROR(VLOOKUP("LULUCF|SO2|Minor restricted activity days", US_national_yearly!$D:$AM, 29, FALSE) / VLOOKUP("LULUCF|SO2|Minor restricted activity days", US_national_yearly!$D:$AM, 10, FALSE), 1)</f>
        <v>6.1895556368961976E-2</v>
      </c>
      <c r="V14" s="7">
        <f>$B14 * IFERROR(VLOOKUP("LULUCF|SO2|Minor restricted activity days", US_national_yearly!$D:$AM, 30, FALSE) / VLOOKUP("LULUCF|SO2|Minor restricted activity days", US_national_yearly!$D:$AM, 10, FALSE), 1)</f>
        <v>6.2383713383034722E-2</v>
      </c>
      <c r="W14" s="7">
        <f>$B14 * IFERROR(VLOOKUP("LULUCF|SO2|Minor restricted activity days", US_national_yearly!$D:$AM, 31, FALSE) / VLOOKUP("LULUCF|SO2|Minor restricted activity days", US_national_yearly!$D:$AM, 10, FALSE), 1)</f>
        <v>6.2871870397107468E-2</v>
      </c>
      <c r="X14" s="7">
        <f>$B14 * IFERROR(VLOOKUP("LULUCF|SO2|Minor restricted activity days", US_national_yearly!$D:$AM, 32, FALSE) / VLOOKUP("LULUCF|SO2|Minor restricted activity days", US_national_yearly!$D:$AM, 10, FALSE), 1)</f>
        <v>6.3301165590329778E-2</v>
      </c>
      <c r="Y14" s="7">
        <f>$B14 * IFERROR(VLOOKUP("LULUCF|SO2|Minor restricted activity days", US_national_yearly!$D:$AM, 33, FALSE) / VLOOKUP("LULUCF|SO2|Minor restricted activity days", US_national_yearly!$D:$AM, 10, FALSE), 1)</f>
        <v>6.3730460783552087E-2</v>
      </c>
      <c r="Z14" s="7">
        <f>$B14 * IFERROR(VLOOKUP("LULUCF|SO2|Minor restricted activity days", US_national_yearly!$D:$AM, 34, FALSE) / VLOOKUP("LULUCF|SO2|Minor restricted activity days", US_national_yearly!$D:$AM, 10, FALSE), 1)</f>
        <v>6.4159755976774396E-2</v>
      </c>
      <c r="AA14" s="7">
        <f>$B14 * IFERROR(VLOOKUP("LULUCF|SO2|Minor restricted activity days", US_national_yearly!$D:$AM, 35, FALSE) / VLOOKUP("LULUCF|SO2|Minor restricted activity days", US_national_yearly!$D:$AM, 10, FALSE), 1)</f>
        <v>6.4589051169996706E-2</v>
      </c>
      <c r="AB14" s="7">
        <f>$B14 * IFERROR(VLOOKUP("LULUCF|SO2|Minor restricted activity days", US_national_yearly!$D:$AM, 36, FALSE) / VLOOKUP("LULUCF|SO2|Minor restricted activity days", US_national_yearly!$D:$AM, 10, FALSE), 1)</f>
        <v>6.5018346363219015E-2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9.3609544822172742E-3</v>
      </c>
      <c r="C15" s="7">
        <f>$B15 * IFERROR(VLOOKUP("LULUCF|SO2|Work loss days", US_national_yearly!$D:$AM, 11, FALSE) / VLOOKUP("LULUCF|SO2|Work loss days", US_national_yearly!$D:$AM, 10, FALSE), 1)</f>
        <v>9.3912824869475456E-3</v>
      </c>
      <c r="D15" s="7">
        <f>$B15 * IFERROR(VLOOKUP("LULUCF|SO2|Work loss days", US_national_yearly!$D:$AM, 12, FALSE) / VLOOKUP("LULUCF|SO2|Work loss days", US_national_yearly!$D:$AM, 10, FALSE), 1)</f>
        <v>9.4216104916778169E-3</v>
      </c>
      <c r="E15" s="7">
        <f>$B15 * IFERROR(VLOOKUP("LULUCF|SO2|Work loss days", US_national_yearly!$D:$AM, 13, FALSE) / VLOOKUP("LULUCF|SO2|Work loss days", US_national_yearly!$D:$AM, 10, FALSE), 1)</f>
        <v>9.4519384964080883E-3</v>
      </c>
      <c r="F15" s="7">
        <f>$B15 * IFERROR(VLOOKUP("LULUCF|SO2|Work loss days", US_national_yearly!$D:$AM, 14, FALSE) / VLOOKUP("LULUCF|SO2|Work loss days", US_national_yearly!$D:$AM, 10, FALSE), 1)</f>
        <v>9.4822665011383579E-3</v>
      </c>
      <c r="G15" s="7">
        <f>$B15 * IFERROR(VLOOKUP("LULUCF|SO2|Work loss days", US_national_yearly!$D:$AM, 15, FALSE) / VLOOKUP("LULUCF|SO2|Work loss days", US_national_yearly!$D:$AM, 10, FALSE), 1)</f>
        <v>9.5218937501870202E-3</v>
      </c>
      <c r="H15" s="7">
        <f>$B15 * IFERROR(VLOOKUP("LULUCF|SO2|Work loss days", US_national_yearly!$D:$AM, 16, FALSE) / VLOOKUP("LULUCF|SO2|Work loss days", US_national_yearly!$D:$AM, 10, FALSE), 1)</f>
        <v>9.5615209992356773E-3</v>
      </c>
      <c r="I15" s="7">
        <f>$B15 * IFERROR(VLOOKUP("LULUCF|SO2|Work loss days", US_national_yearly!$D:$AM, 17, FALSE) / VLOOKUP("LULUCF|SO2|Work loss days", US_national_yearly!$D:$AM, 10, FALSE), 1)</f>
        <v>9.6194903450194606E-3</v>
      </c>
      <c r="J15" s="7">
        <f>$B15 * IFERROR(VLOOKUP("LULUCF|SO2|Work loss days", US_national_yearly!$D:$AM, 18, FALSE) / VLOOKUP("LULUCF|SO2|Work loss days", US_national_yearly!$D:$AM, 10, FALSE), 1)</f>
        <v>9.6774596908032421E-3</v>
      </c>
      <c r="K15" s="7">
        <f>$B15 * IFERROR(VLOOKUP("LULUCF|SO2|Work loss days", US_national_yearly!$D:$AM, 19, FALSE) / VLOOKUP("LULUCF|SO2|Work loss days", US_national_yearly!$D:$AM, 10, FALSE), 1)</f>
        <v>9.7354290365870236E-3</v>
      </c>
      <c r="L15" s="7">
        <f>$B15 * IFERROR(VLOOKUP("LULUCF|SO2|Work loss days", US_national_yearly!$D:$AM, 20, FALSE) / VLOOKUP("LULUCF|SO2|Work loss days", US_national_yearly!$D:$AM, 10, FALSE), 1)</f>
        <v>9.7933983823708069E-3</v>
      </c>
      <c r="M15" s="7">
        <f>$B15 * IFERROR(VLOOKUP("LULUCF|SO2|Work loss days", US_national_yearly!$D:$AM, 21, FALSE) / VLOOKUP("LULUCF|SO2|Work loss days", US_national_yearly!$D:$AM, 10, FALSE), 1)</f>
        <v>9.8513677281545885E-3</v>
      </c>
      <c r="N15" s="7">
        <f>$B15 * IFERROR(VLOOKUP("LULUCF|SO2|Work loss days", US_national_yearly!$D:$AM, 22, FALSE) / VLOOKUP("LULUCF|SO2|Work loss days", US_national_yearly!$D:$AM, 10, FALSE), 1)</f>
        <v>9.9240518938014527E-3</v>
      </c>
      <c r="O15" s="7">
        <f>$B15 * IFERROR(VLOOKUP("LULUCF|SO2|Work loss days", US_national_yearly!$D:$AM, 23, FALSE) / VLOOKUP("LULUCF|SO2|Work loss days", US_national_yearly!$D:$AM, 10, FALSE), 1)</f>
        <v>9.9967360594483169E-3</v>
      </c>
      <c r="P15" s="7">
        <f>$B15 * IFERROR(VLOOKUP("LULUCF|SO2|Work loss days", US_national_yearly!$D:$AM, 24, FALSE) / VLOOKUP("LULUCF|SO2|Work loss days", US_national_yearly!$D:$AM, 10, FALSE), 1)</f>
        <v>1.0069420225095179E-2</v>
      </c>
      <c r="Q15" s="7">
        <f>$B15 * IFERROR(VLOOKUP("LULUCF|SO2|Work loss days", US_national_yearly!$D:$AM, 25, FALSE) / VLOOKUP("LULUCF|SO2|Work loss days", US_national_yearly!$D:$AM, 10, FALSE), 1)</f>
        <v>1.0142104390742044E-2</v>
      </c>
      <c r="R15" s="7">
        <f>$B15 * IFERROR(VLOOKUP("LULUCF|SO2|Work loss days", US_national_yearly!$D:$AM, 26, FALSE) / VLOOKUP("LULUCF|SO2|Work loss days", US_national_yearly!$D:$AM, 10, FALSE), 1)</f>
        <v>1.0214788556388906E-2</v>
      </c>
      <c r="S15" s="7">
        <f>$B15 * IFERROR(VLOOKUP("LULUCF|SO2|Work loss days", US_national_yearly!$D:$AM, 27, FALSE) / VLOOKUP("LULUCF|SO2|Work loss days", US_national_yearly!$D:$AM, 10, FALSE), 1)</f>
        <v>1.0296012871862643E-2</v>
      </c>
      <c r="T15" s="7">
        <f>$B15 * IFERROR(VLOOKUP("LULUCF|SO2|Work loss days", US_national_yearly!$D:$AM, 28, FALSE) / VLOOKUP("LULUCF|SO2|Work loss days", US_national_yearly!$D:$AM, 10, FALSE), 1)</f>
        <v>1.0377237187336382E-2</v>
      </c>
      <c r="U15" s="7">
        <f>$B15 * IFERROR(VLOOKUP("LULUCF|SO2|Work loss days", US_national_yearly!$D:$AM, 29, FALSE) / VLOOKUP("LULUCF|SO2|Work loss days", US_national_yearly!$D:$AM, 10, FALSE), 1)</f>
        <v>1.0458461502810119E-2</v>
      </c>
      <c r="V15" s="7">
        <f>$B15 * IFERROR(VLOOKUP("LULUCF|SO2|Work loss days", US_national_yearly!$D:$AM, 30, FALSE) / VLOOKUP("LULUCF|SO2|Work loss days", US_national_yearly!$D:$AM, 10, FALSE), 1)</f>
        <v>1.0539685818283856E-2</v>
      </c>
      <c r="W15" s="7">
        <f>$B15 * IFERROR(VLOOKUP("LULUCF|SO2|Work loss days", US_national_yearly!$D:$AM, 31, FALSE) / VLOOKUP("LULUCF|SO2|Work loss days", US_national_yearly!$D:$AM, 10, FALSE), 1)</f>
        <v>1.0620910133757594E-2</v>
      </c>
      <c r="X15" s="7">
        <f>$B15 * IFERROR(VLOOKUP("LULUCF|SO2|Work loss days", US_national_yearly!$D:$AM, 32, FALSE) / VLOOKUP("LULUCF|SO2|Work loss days", US_national_yearly!$D:$AM, 10, FALSE), 1)</f>
        <v>1.0693838373368278E-2</v>
      </c>
      <c r="Y15" s="7">
        <f>$B15 * IFERROR(VLOOKUP("LULUCF|SO2|Work loss days", US_national_yearly!$D:$AM, 33, FALSE) / VLOOKUP("LULUCF|SO2|Work loss days", US_national_yearly!$D:$AM, 10, FALSE), 1)</f>
        <v>1.0766766612978965E-2</v>
      </c>
      <c r="Z15" s="7">
        <f>$B15 * IFERROR(VLOOKUP("LULUCF|SO2|Work loss days", US_national_yearly!$D:$AM, 34, FALSE) / VLOOKUP("LULUCF|SO2|Work loss days", US_national_yearly!$D:$AM, 10, FALSE), 1)</f>
        <v>1.083969485258965E-2</v>
      </c>
      <c r="AA15" s="7">
        <f>$B15 * IFERROR(VLOOKUP("LULUCF|SO2|Work loss days", US_national_yearly!$D:$AM, 35, FALSE) / VLOOKUP("LULUCF|SO2|Work loss days", US_national_yearly!$D:$AM, 10, FALSE), 1)</f>
        <v>1.0912623092200337E-2</v>
      </c>
      <c r="AB15" s="7">
        <f>$B15 * IFERROR(VLOOKUP("LULUCF|SO2|Work loss days", US_national_yearly!$D:$AM, 36, FALSE) / VLOOKUP("LULUCF|SO2|Work loss days", US_national_yearly!$D:$AM, 10, FALSE), 1)</f>
        <v>1.0985551331811024E-2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2.2559418095088673E-5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2.3241701287810954E-5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2.3923984480533239E-5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2.460626767325552E-5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2.5288550865977808E-5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2.5942113289614425E-5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2.6595675713251044E-5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2.7155651168714036E-5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2.7715626624177028E-5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2.8275602079640023E-5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2.8835577535103014E-5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2.9395552990565999E-5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2.9771728939956068E-5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3.014790488934613E-5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3.0524080838736192E-5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3.0900256788126257E-5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3.1276432737516322E-5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3.1474274503142883E-5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3.1672116268769444E-5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3.1869958034395999E-5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3.206779980002256E-5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3.2265641565649121E-5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3.2398459283063326E-5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3.2531277000477539E-5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3.2664094717891744E-5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3.2796912435305956E-5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3.2929730152720155E-5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2026-06-15T17:15:51Z</dcterms:modified>
</cp:coreProperties>
</file>
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O\trans\BCDTRtSY\"/>
    </mc:Choice>
  </mc:AlternateContent>
  <xr:revisionPtr revIDLastSave="0" documentId="8_{A8B4BEFE-0993-4446-80F7-AE5CB00A6574}"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<sst xmlns="http://schemas.openxmlformats.org/spreadsheetml/2006/main" count="6428" uniqueCount="3038">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</sst>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2910</v>
      </c>
      <c r="C1" s="77">
        <v>46248</v>
      </c>
      <c r="H1" t="s">
        <v>2981</v>
      </c>
      <c r="I1" t="s">
        <v>2982</v>
      </c>
    </row>
    <row r="2" spans="1:9">
      <c r="B2" t="str">
        <f>VLOOKUP(B1,H2:I52,2)</f>
        <v>MO</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Missouri</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1.0029390573640684</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1.0072838943311351</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1.008556354597641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1.0094242369489399</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1.0095630177763533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1.0085693848057784</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1.0077371632504755</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1.0055449463117316</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1.0039438418298334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1.0015277288480799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0.99979517877621515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0.99848445837740329</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0.99723023837882396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0.99540362719664921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0.99377454495915718</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0.99107110866491677</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0.98825461674395876</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0.98512428173346878</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0.9822130078174357</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0.97910089090565799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0.97574580436411773</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0.97166871087112439</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0.96772208790980507</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0.96357397175154624</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0.95980361853867502</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1.014710432500892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1.0235738534391903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1.028953812841862</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1.0331066131370881</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1.0358536378640217</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1.0364048304837021</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1.0365370601172077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1.0371344290137015</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1.0372704246044862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1.0377142525170984</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1.037400767636379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1.0372105932061548</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1.0365405932670535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1.035850529652929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1.0351109667332894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1.0333600482054679</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1.0315623335056674</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1.029450235724622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1.0272264166153069</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1.0248989578450247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1.0222160368991411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1.0194324888545281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1.0163049361805587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1.0130232705185689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1.0096845475841612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1.0280857180952354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1.0434976814602708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1.0481415643588521</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1.057529236672919</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1.0709420219354306</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1.0827446106858685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1.0987421130840553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1.116476422246004</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1.1363790738703463</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1.1586183258348368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1.1740182862088973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1.1893901507449902</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1.2044247292751822</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1.2184173121278372</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1.2327471720633236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1.2453289487328398</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1.2588353672826345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1.2734836531826834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1.2879387766303638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1.3024021597649156</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1.3158043527468857</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1.3272732607882016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1.338813687089772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1.3492782074046339</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1.3601039505023713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1.060343955209532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1.1040559984464975</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1.1360974266880524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1.1632045968092359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1.1856063234297622</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1.2029726469095741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1.2180789556625213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1.2339223977171707</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1.2447588137857837</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1.2554894080329775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1.2625649375922432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1.2704243945262916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1.2769864034311875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1.2809247305668194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1.2851719668607517</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1.2875937273791125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1.2900063885397988</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1.290922908132017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1.2925780034010557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1.2948166720533973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1.295503973483614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1.2968404718130306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1.2960149368853007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1.294795217223448</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1.2932846530696334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0.9987724587505068</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0.99051943281630961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0.9764172254812451</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0.96481345356405124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0.95553654833181711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0.94531711412587094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0.93743789493488239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0.93076697566481958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0.92533505169038777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0.92118399683675922</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0.9141978990921541</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0.90728815131491714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0.90026149697263413</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0.89320822793817489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0.88628353609127652</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0.8784499019534231</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0.87105728995185927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0.86398021764917432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0.85694044262533287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0.84990737604858346</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0.84247727952002782</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0.83448826176565638</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0.82641382481406156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0.81804078916405365</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0.80996308110420223</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1.0027041663999949</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1.0075788008133479</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1.0095200298513094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1.0112507753023952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1.0119622253113212</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1.0121864364469839</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1.0124544385954277</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1.0112212610177149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1.0103387662717451</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1.008578073491132</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1.007601825976763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1.0070614943634244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1.0064929746782321</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1.0052320079810417</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1.0041943207588242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1.0023455627353053</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1.0002433991712412</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0.99792247202965123</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0.99592149692844956</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0.99379706092474951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0.99123981115894144</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0.98800246138181858</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0.98472559591026476</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0.98131295818840347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0.97827996210871948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0.99293288772248789</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0.99134166954048109</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0.98939809789403421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0.98862674156258268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0.99258097410604307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0.9945661373398218</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0.99831136798757458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1.0007747883065383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1.0051232167383848</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1.0101498404446876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1.0154923821939192</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1.0220483018232931</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1.0297808550378094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1.0378431316202206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1.0463762006062518</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1.0536341920308729</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1.0602638766625656</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1.0643930833789039</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1.0682406634515877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1.0733684590663475</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1.0789153277149348</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1.0850844217326236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1.0900080055299404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1.0956432083340046</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1.1005311067752999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1.00753068238901</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1.0192336086868399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1.0300152904362168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1.0381723553849755</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1.0486285730166198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1.0540484804823007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1.0603405020729908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1.0644557716489476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1.0697817112577053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1.0749506601187522</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1.0793139177914031</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1.0829773059466175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1.0856407539604418</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1.0877388047378778</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1.0899982484965498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1.0916953664163067</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1.0928631070062136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1.0930370750485059</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1.0935029049314804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1.0957499048765995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1.0981768680233506</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1.1004913063233366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1.100764735111198</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1.1009535714852214</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1.1005968602730929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1.0235494973925074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1.0392423317006347</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1.0484422730872547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1.0612478339808429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1.0769219879131853</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1.0914969622766435</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1.1090461964302454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1.1279370220704752</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1.148459249474334</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1.1707135688582444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1.1884835439274486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1.2063433082103532</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1.2240746117444499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1.2411819898011061</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1.2586233898017569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1.2748148125172505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1.2917115533400376</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1.3094696248382396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1.327171524099813</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1.3449528122609757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1.362073067684362</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1.3779145259097749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1.3938814367364314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1.4091704379637089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1.4248063810619325</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0.97414850780575013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1.002343532982825</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0.97866251336220922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0.96785934627992243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0.97122794315574512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0.94280857339021018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0.94326020975768243</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0.94384939599675122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0.93770195948635549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0.93730485960074539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0.93607740530377059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0.93617935637080929</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0.93313606682075434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0.93160647076666303</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0.92913719398516492</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0.92466864796319626</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0.91821118554553816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0.91238813219500858</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0.90891757290678543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0.90490075923622404</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0.90324976930491485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0.90501880852849836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0.90433607032322838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0.89823305282716603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0.89277438464067671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0.98897233668651285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1.0048441125523817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1.02262328977031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1.0369668163525876</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1.0521321762323215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1.0651714417649898</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1.0801196452022241</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1.0952442115168826</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1.1109578224387011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1.1275349153264487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1.1401072146047999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1.1493572033445381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1.1585255798801766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1.1664875033789688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1.1744632486325706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1.1816774678604791</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1.1898321745944498</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1.1975091794279666</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1.2049699012397848</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1.2136295293942758</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1.222352912221635</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1.2311717556558592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1.2391886757937101</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1.2468404067779186</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1.2557474075006791</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1.0029390573640684</v>
      </c>
      <c r="E2">
        <f>'BCDTRtSY-state-adjusted'!E5</f>
        <v>1.0072838943311351</v>
      </c>
      <c r="F2">
        <f>'BCDTRtSY-state-adjusted'!F5</f>
        <v>1.008556354597641</v>
      </c>
      <c r="G2">
        <f>'BCDTRtSY-state-adjusted'!G5</f>
        <v>1.0094242369489399</v>
      </c>
      <c r="H2">
        <f>'BCDTRtSY-state-adjusted'!H5</f>
        <v>1.0095630177763533</v>
      </c>
      <c r="I2">
        <f>'BCDTRtSY-state-adjusted'!I5</f>
        <v>1.0085693848057784</v>
      </c>
      <c r="J2">
        <f>'BCDTRtSY-state-adjusted'!J5</f>
        <v>1.0077371632504755</v>
      </c>
      <c r="K2">
        <f>'BCDTRtSY-state-adjusted'!K5</f>
        <v>1.0055449463117316</v>
      </c>
      <c r="L2">
        <f>'BCDTRtSY-state-adjusted'!L5</f>
        <v>1.0039438418298334</v>
      </c>
      <c r="M2">
        <f>'BCDTRtSY-state-adjusted'!M5</f>
        <v>1.0015277288480799</v>
      </c>
      <c r="N2">
        <f>'BCDTRtSY-state-adjusted'!N5</f>
        <v>0.99979517877621515</v>
      </c>
      <c r="O2">
        <f>'BCDTRtSY-state-adjusted'!O5</f>
        <v>0.99848445837740329</v>
      </c>
      <c r="P2">
        <f>'BCDTRtSY-state-adjusted'!P5</f>
        <v>0.99723023837882396</v>
      </c>
      <c r="Q2">
        <f>'BCDTRtSY-state-adjusted'!Q5</f>
        <v>0.99540362719664921</v>
      </c>
      <c r="R2">
        <f>'BCDTRtSY-state-adjusted'!R5</f>
        <v>0.99377454495915718</v>
      </c>
      <c r="S2">
        <f>'BCDTRtSY-state-adjusted'!S5</f>
        <v>0.99107110866491677</v>
      </c>
      <c r="T2">
        <f>'BCDTRtSY-state-adjusted'!T5</f>
        <v>0.98825461674395876</v>
      </c>
      <c r="U2">
        <f>'BCDTRtSY-state-adjusted'!U5</f>
        <v>0.98512428173346878</v>
      </c>
      <c r="V2">
        <f>'BCDTRtSY-state-adjusted'!V5</f>
        <v>0.9822130078174357</v>
      </c>
      <c r="W2">
        <f>'BCDTRtSY-state-adjusted'!W5</f>
        <v>0.97910089090565799</v>
      </c>
      <c r="X2">
        <f>'BCDTRtSY-state-adjusted'!X5</f>
        <v>0.97574580436411773</v>
      </c>
      <c r="Y2">
        <f>'BCDTRtSY-state-adjusted'!Y5</f>
        <v>0.97166871087112439</v>
      </c>
      <c r="Z2">
        <f>'BCDTRtSY-state-adjusted'!Z5</f>
        <v>0.96772208790980507</v>
      </c>
      <c r="AA2">
        <f>'BCDTRtSY-state-adjusted'!AA5</f>
        <v>0.96357397175154624</v>
      </c>
      <c r="AB2">
        <f>'BCDTRtSY-state-adjusted'!AB5</f>
        <v>0.95980361853867502</v>
      </c>
    </row>
    <row r="3" spans="1:28">
      <c r="A3" t="s">
        <v>118</v>
      </c>
      <c r="B3">
        <f>'BCDTRtSY-state-adjusted'!B6</f>
        <v>1</v>
      </c>
      <c r="C3">
        <f>'BCDTRtSY-state-adjusted'!C6</f>
        <v>1</v>
      </c>
      <c r="D3">
        <f>'BCDTRtSY-state-adjusted'!D6</f>
        <v>1.014710432500892</v>
      </c>
      <c r="E3">
        <f>'BCDTRtSY-state-adjusted'!E6</f>
        <v>1.0235738534391903</v>
      </c>
      <c r="F3">
        <f>'BCDTRtSY-state-adjusted'!F6</f>
        <v>1.028953812841862</v>
      </c>
      <c r="G3">
        <f>'BCDTRtSY-state-adjusted'!G6</f>
        <v>1.0331066131370881</v>
      </c>
      <c r="H3">
        <f>'BCDTRtSY-state-adjusted'!H6</f>
        <v>1.0358536378640217</v>
      </c>
      <c r="I3">
        <f>'BCDTRtSY-state-adjusted'!I6</f>
        <v>1.0364048304837021</v>
      </c>
      <c r="J3">
        <f>'BCDTRtSY-state-adjusted'!J6</f>
        <v>1.0365370601172077</v>
      </c>
      <c r="K3">
        <f>'BCDTRtSY-state-adjusted'!K6</f>
        <v>1.0371344290137015</v>
      </c>
      <c r="L3">
        <f>'BCDTRtSY-state-adjusted'!L6</f>
        <v>1.0372704246044862</v>
      </c>
      <c r="M3">
        <f>'BCDTRtSY-state-adjusted'!M6</f>
        <v>1.0377142525170984</v>
      </c>
      <c r="N3">
        <f>'BCDTRtSY-state-adjusted'!N6</f>
        <v>1.037400767636379</v>
      </c>
      <c r="O3">
        <f>'BCDTRtSY-state-adjusted'!O6</f>
        <v>1.0372105932061548</v>
      </c>
      <c r="P3">
        <f>'BCDTRtSY-state-adjusted'!P6</f>
        <v>1.0365405932670535</v>
      </c>
      <c r="Q3">
        <f>'BCDTRtSY-state-adjusted'!Q6</f>
        <v>1.035850529652929</v>
      </c>
      <c r="R3">
        <f>'BCDTRtSY-state-adjusted'!R6</f>
        <v>1.0351109667332894</v>
      </c>
      <c r="S3">
        <f>'BCDTRtSY-state-adjusted'!S6</f>
        <v>1.0333600482054679</v>
      </c>
      <c r="T3">
        <f>'BCDTRtSY-state-adjusted'!T6</f>
        <v>1.0315623335056674</v>
      </c>
      <c r="U3">
        <f>'BCDTRtSY-state-adjusted'!U6</f>
        <v>1.029450235724622</v>
      </c>
      <c r="V3">
        <f>'BCDTRtSY-state-adjusted'!V6</f>
        <v>1.0272264166153069</v>
      </c>
      <c r="W3">
        <f>'BCDTRtSY-state-adjusted'!W6</f>
        <v>1.0248989578450247</v>
      </c>
      <c r="X3">
        <f>'BCDTRtSY-state-adjusted'!X6</f>
        <v>1.0222160368991411</v>
      </c>
      <c r="Y3">
        <f>'BCDTRtSY-state-adjusted'!Y6</f>
        <v>1.0194324888545281</v>
      </c>
      <c r="Z3">
        <f>'BCDTRtSY-state-adjusted'!Z6</f>
        <v>1.0163049361805587</v>
      </c>
      <c r="AA3">
        <f>'BCDTRtSY-state-adjusted'!AA6</f>
        <v>1.0130232705185689</v>
      </c>
      <c r="AB3">
        <f>'BCDTRtSY-state-adjusted'!AB6</f>
        <v>1.0096845475841612</v>
      </c>
    </row>
    <row r="4" spans="1:28">
      <c r="A4" t="s">
        <v>116</v>
      </c>
      <c r="B4">
        <f>'BCDTRtSY-state-adjusted'!B7</f>
        <v>1</v>
      </c>
      <c r="C4">
        <f>'BCDTRtSY-state-adjusted'!C7</f>
        <v>1</v>
      </c>
      <c r="D4">
        <f>'BCDTRtSY-state-adjusted'!D7</f>
        <v>1.0280857180952354</v>
      </c>
      <c r="E4">
        <f>'BCDTRtSY-state-adjusted'!E7</f>
        <v>1.0434976814602708</v>
      </c>
      <c r="F4">
        <f>'BCDTRtSY-state-adjusted'!F7</f>
        <v>1.0481415643588521</v>
      </c>
      <c r="G4">
        <f>'BCDTRtSY-state-adjusted'!G7</f>
        <v>1.057529236672919</v>
      </c>
      <c r="H4">
        <f>'BCDTRtSY-state-adjusted'!H7</f>
        <v>1.0709420219354306</v>
      </c>
      <c r="I4">
        <f>'BCDTRtSY-state-adjusted'!I7</f>
        <v>1.0827446106858685</v>
      </c>
      <c r="J4">
        <f>'BCDTRtSY-state-adjusted'!J7</f>
        <v>1.0987421130840553</v>
      </c>
      <c r="K4">
        <f>'BCDTRtSY-state-adjusted'!K7</f>
        <v>1.116476422246004</v>
      </c>
      <c r="L4">
        <f>'BCDTRtSY-state-adjusted'!L7</f>
        <v>1.1363790738703463</v>
      </c>
      <c r="M4">
        <f>'BCDTRtSY-state-adjusted'!M7</f>
        <v>1.1586183258348368</v>
      </c>
      <c r="N4">
        <f>'BCDTRtSY-state-adjusted'!N7</f>
        <v>1.1740182862088973</v>
      </c>
      <c r="O4">
        <f>'BCDTRtSY-state-adjusted'!O7</f>
        <v>1.1893901507449902</v>
      </c>
      <c r="P4">
        <f>'BCDTRtSY-state-adjusted'!P7</f>
        <v>1.2044247292751822</v>
      </c>
      <c r="Q4">
        <f>'BCDTRtSY-state-adjusted'!Q7</f>
        <v>1.2184173121278372</v>
      </c>
      <c r="R4">
        <f>'BCDTRtSY-state-adjusted'!R7</f>
        <v>1.2327471720633236</v>
      </c>
      <c r="S4">
        <f>'BCDTRtSY-state-adjusted'!S7</f>
        <v>1.2453289487328398</v>
      </c>
      <c r="T4">
        <f>'BCDTRtSY-state-adjusted'!T7</f>
        <v>1.2588353672826345</v>
      </c>
      <c r="U4">
        <f>'BCDTRtSY-state-adjusted'!U7</f>
        <v>1.2734836531826834</v>
      </c>
      <c r="V4">
        <f>'BCDTRtSY-state-adjusted'!V7</f>
        <v>1.2879387766303638</v>
      </c>
      <c r="W4">
        <f>'BCDTRtSY-state-adjusted'!W7</f>
        <v>1.3024021597649156</v>
      </c>
      <c r="X4">
        <f>'BCDTRtSY-state-adjusted'!X7</f>
        <v>1.3158043527468857</v>
      </c>
      <c r="Y4">
        <f>'BCDTRtSY-state-adjusted'!Y7</f>
        <v>1.3272732607882016</v>
      </c>
      <c r="Z4">
        <f>'BCDTRtSY-state-adjusted'!Z7</f>
        <v>1.338813687089772</v>
      </c>
      <c r="AA4">
        <f>'BCDTRtSY-state-adjusted'!AA7</f>
        <v>1.3492782074046339</v>
      </c>
      <c r="AB4">
        <f>'BCDTRtSY-state-adjusted'!AB7</f>
        <v>1.3601039505023713</v>
      </c>
    </row>
    <row r="5" spans="1:28">
      <c r="A5" t="s">
        <v>121</v>
      </c>
      <c r="B5">
        <f>'BCDTRtSY-state-adjusted'!B8</f>
        <v>1</v>
      </c>
      <c r="C5">
        <f>'BCDTRtSY-state-adjusted'!C8</f>
        <v>1</v>
      </c>
      <c r="D5">
        <f>'BCDTRtSY-state-adjusted'!D8</f>
        <v>1.060343955209532</v>
      </c>
      <c r="E5">
        <f>'BCDTRtSY-state-adjusted'!E8</f>
        <v>1.1040559984464975</v>
      </c>
      <c r="F5">
        <f>'BCDTRtSY-state-adjusted'!F8</f>
        <v>1.1360974266880524</v>
      </c>
      <c r="G5">
        <f>'BCDTRtSY-state-adjusted'!G8</f>
        <v>1.1632045968092359</v>
      </c>
      <c r="H5">
        <f>'BCDTRtSY-state-adjusted'!H8</f>
        <v>1.1856063234297622</v>
      </c>
      <c r="I5">
        <f>'BCDTRtSY-state-adjusted'!I8</f>
        <v>1.2029726469095741</v>
      </c>
      <c r="J5">
        <f>'BCDTRtSY-state-adjusted'!J8</f>
        <v>1.2180789556625213</v>
      </c>
      <c r="K5">
        <f>'BCDTRtSY-state-adjusted'!K8</f>
        <v>1.2339223977171707</v>
      </c>
      <c r="L5">
        <f>'BCDTRtSY-state-adjusted'!L8</f>
        <v>1.2447588137857837</v>
      </c>
      <c r="M5">
        <f>'BCDTRtSY-state-adjusted'!M8</f>
        <v>1.2554894080329775</v>
      </c>
      <c r="N5">
        <f>'BCDTRtSY-state-adjusted'!N8</f>
        <v>1.2625649375922432</v>
      </c>
      <c r="O5">
        <f>'BCDTRtSY-state-adjusted'!O8</f>
        <v>1.2704243945262916</v>
      </c>
      <c r="P5">
        <f>'BCDTRtSY-state-adjusted'!P8</f>
        <v>1.2769864034311875</v>
      </c>
      <c r="Q5">
        <f>'BCDTRtSY-state-adjusted'!Q8</f>
        <v>1.2809247305668194</v>
      </c>
      <c r="R5">
        <f>'BCDTRtSY-state-adjusted'!R8</f>
        <v>1.2851719668607517</v>
      </c>
      <c r="S5">
        <f>'BCDTRtSY-state-adjusted'!S8</f>
        <v>1.2875937273791125</v>
      </c>
      <c r="T5">
        <f>'BCDTRtSY-state-adjusted'!T8</f>
        <v>1.2900063885397988</v>
      </c>
      <c r="U5">
        <f>'BCDTRtSY-state-adjusted'!U8</f>
        <v>1.290922908132017</v>
      </c>
      <c r="V5">
        <f>'BCDTRtSY-state-adjusted'!V8</f>
        <v>1.2925780034010557</v>
      </c>
      <c r="W5">
        <f>'BCDTRtSY-state-adjusted'!W8</f>
        <v>1.2948166720533973</v>
      </c>
      <c r="X5">
        <f>'BCDTRtSY-state-adjusted'!X8</f>
        <v>1.295503973483614</v>
      </c>
      <c r="Y5">
        <f>'BCDTRtSY-state-adjusted'!Y8</f>
        <v>1.2968404718130306</v>
      </c>
      <c r="Z5">
        <f>'BCDTRtSY-state-adjusted'!Z8</f>
        <v>1.2960149368853007</v>
      </c>
      <c r="AA5">
        <f>'BCDTRtSY-state-adjusted'!AA8</f>
        <v>1.294795217223448</v>
      </c>
      <c r="AB5">
        <f>'BCDTRtSY-state-adjusted'!AB8</f>
        <v>1.2932846530696334</v>
      </c>
    </row>
    <row r="6" spans="1:28">
      <c r="A6" t="s">
        <v>122</v>
      </c>
      <c r="B6">
        <f>'BCDTRtSY-state-adjusted'!B9</f>
        <v>1</v>
      </c>
      <c r="C6">
        <f>'BCDTRtSY-state-adjusted'!C9</f>
        <v>1</v>
      </c>
      <c r="D6">
        <f>'BCDTRtSY-state-adjusted'!D9</f>
        <v>0.9987724587505068</v>
      </c>
      <c r="E6">
        <f>'BCDTRtSY-state-adjusted'!E9</f>
        <v>0.99051943281630961</v>
      </c>
      <c r="F6">
        <f>'BCDTRtSY-state-adjusted'!F9</f>
        <v>0.9764172254812451</v>
      </c>
      <c r="G6">
        <f>'BCDTRtSY-state-adjusted'!G9</f>
        <v>0.96481345356405124</v>
      </c>
      <c r="H6">
        <f>'BCDTRtSY-state-adjusted'!H9</f>
        <v>0.95553654833181711</v>
      </c>
      <c r="I6">
        <f>'BCDTRtSY-state-adjusted'!I9</f>
        <v>0.94531711412587094</v>
      </c>
      <c r="J6">
        <f>'BCDTRtSY-state-adjusted'!J9</f>
        <v>0.93743789493488239</v>
      </c>
      <c r="K6">
        <f>'BCDTRtSY-state-adjusted'!K9</f>
        <v>0.93076697566481958</v>
      </c>
      <c r="L6">
        <f>'BCDTRtSY-state-adjusted'!L9</f>
        <v>0.92533505169038777</v>
      </c>
      <c r="M6">
        <f>'BCDTRtSY-state-adjusted'!M9</f>
        <v>0.92118399683675922</v>
      </c>
      <c r="N6">
        <f>'BCDTRtSY-state-adjusted'!N9</f>
        <v>0.9141978990921541</v>
      </c>
      <c r="O6">
        <f>'BCDTRtSY-state-adjusted'!O9</f>
        <v>0.90728815131491714</v>
      </c>
      <c r="P6">
        <f>'BCDTRtSY-state-adjusted'!P9</f>
        <v>0.90026149697263413</v>
      </c>
      <c r="Q6">
        <f>'BCDTRtSY-state-adjusted'!Q9</f>
        <v>0.89320822793817489</v>
      </c>
      <c r="R6">
        <f>'BCDTRtSY-state-adjusted'!R9</f>
        <v>0.88628353609127652</v>
      </c>
      <c r="S6">
        <f>'BCDTRtSY-state-adjusted'!S9</f>
        <v>0.8784499019534231</v>
      </c>
      <c r="T6">
        <f>'BCDTRtSY-state-adjusted'!T9</f>
        <v>0.87105728995185927</v>
      </c>
      <c r="U6">
        <f>'BCDTRtSY-state-adjusted'!U9</f>
        <v>0.86398021764917432</v>
      </c>
      <c r="V6">
        <f>'BCDTRtSY-state-adjusted'!V9</f>
        <v>0.85694044262533287</v>
      </c>
      <c r="W6">
        <f>'BCDTRtSY-state-adjusted'!W9</f>
        <v>0.84990737604858346</v>
      </c>
      <c r="X6">
        <f>'BCDTRtSY-state-adjusted'!X9</f>
        <v>0.84247727952002782</v>
      </c>
      <c r="Y6">
        <f>'BCDTRtSY-state-adjusted'!Y9</f>
        <v>0.83448826176565638</v>
      </c>
      <c r="Z6">
        <f>'BCDTRtSY-state-adjusted'!Z9</f>
        <v>0.82641382481406156</v>
      </c>
      <c r="AA6">
        <f>'BCDTRtSY-state-adjusted'!AA9</f>
        <v>0.81804078916405365</v>
      </c>
      <c r="AB6">
        <f>'BCDTRtSY-state-adjusted'!AB9</f>
        <v>0.80996308110420223</v>
      </c>
    </row>
    <row r="7" spans="1:28">
      <c r="A7" t="s">
        <v>123</v>
      </c>
      <c r="B7">
        <f>'BCDTRtSY-state-adjusted'!B10</f>
        <v>1</v>
      </c>
      <c r="C7">
        <f>'BCDTRtSY-state-adjusted'!C10</f>
        <v>1</v>
      </c>
      <c r="D7">
        <f>'BCDTRtSY-state-adjusted'!D10</f>
        <v>1.0027041663999949</v>
      </c>
      <c r="E7">
        <f>'BCDTRtSY-state-adjusted'!E10</f>
        <v>1.0075788008133479</v>
      </c>
      <c r="F7">
        <f>'BCDTRtSY-state-adjusted'!F10</f>
        <v>1.0095200298513094</v>
      </c>
      <c r="G7">
        <f>'BCDTRtSY-state-adjusted'!G10</f>
        <v>1.0112507753023952</v>
      </c>
      <c r="H7">
        <f>'BCDTRtSY-state-adjusted'!H10</f>
        <v>1.0119622253113212</v>
      </c>
      <c r="I7">
        <f>'BCDTRtSY-state-adjusted'!I10</f>
        <v>1.0121864364469839</v>
      </c>
      <c r="J7">
        <f>'BCDTRtSY-state-adjusted'!J10</f>
        <v>1.0124544385954277</v>
      </c>
      <c r="K7">
        <f>'BCDTRtSY-state-adjusted'!K10</f>
        <v>1.0112212610177149</v>
      </c>
      <c r="L7">
        <f>'BCDTRtSY-state-adjusted'!L10</f>
        <v>1.0103387662717451</v>
      </c>
      <c r="M7">
        <f>'BCDTRtSY-state-adjusted'!M10</f>
        <v>1.008578073491132</v>
      </c>
      <c r="N7">
        <f>'BCDTRtSY-state-adjusted'!N10</f>
        <v>1.007601825976763</v>
      </c>
      <c r="O7">
        <f>'BCDTRtSY-state-adjusted'!O10</f>
        <v>1.0070614943634244</v>
      </c>
      <c r="P7">
        <f>'BCDTRtSY-state-adjusted'!P10</f>
        <v>1.0064929746782321</v>
      </c>
      <c r="Q7">
        <f>'BCDTRtSY-state-adjusted'!Q10</f>
        <v>1.0052320079810417</v>
      </c>
      <c r="R7">
        <f>'BCDTRtSY-state-adjusted'!R10</f>
        <v>1.0041943207588242</v>
      </c>
      <c r="S7">
        <f>'BCDTRtSY-state-adjusted'!S10</f>
        <v>1.0023455627353053</v>
      </c>
      <c r="T7">
        <f>'BCDTRtSY-state-adjusted'!T10</f>
        <v>1.0002433991712412</v>
      </c>
      <c r="U7">
        <f>'BCDTRtSY-state-adjusted'!U10</f>
        <v>0.99792247202965123</v>
      </c>
      <c r="V7">
        <f>'BCDTRtSY-state-adjusted'!V10</f>
        <v>0.99592149692844956</v>
      </c>
      <c r="W7">
        <f>'BCDTRtSY-state-adjusted'!W10</f>
        <v>0.99379706092474951</v>
      </c>
      <c r="X7">
        <f>'BCDTRtSY-state-adjusted'!X10</f>
        <v>0.99123981115894144</v>
      </c>
      <c r="Y7">
        <f>'BCDTRtSY-state-adjusted'!Y10</f>
        <v>0.98800246138181858</v>
      </c>
      <c r="Z7">
        <f>'BCDTRtSY-state-adjusted'!Z10</f>
        <v>0.98472559591026476</v>
      </c>
      <c r="AA7">
        <f>'BCDTRtSY-state-adjusted'!AA10</f>
        <v>0.98131295818840347</v>
      </c>
      <c r="AB7">
        <f>'BCDTRtSY-state-adjusted'!AB10</f>
        <v>0.97827996210871948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0.99293288772248789</v>
      </c>
      <c r="E2">
        <f>'BCDTRtSY-state-adjusted'!E13</f>
        <v>0.99134166954048109</v>
      </c>
      <c r="F2">
        <f>'BCDTRtSY-state-adjusted'!F13</f>
        <v>0.98939809789403421</v>
      </c>
      <c r="G2">
        <f>'BCDTRtSY-state-adjusted'!G13</f>
        <v>0.98862674156258268</v>
      </c>
      <c r="H2">
        <f>'BCDTRtSY-state-adjusted'!H13</f>
        <v>0.99258097410604307</v>
      </c>
      <c r="I2">
        <f>'BCDTRtSY-state-adjusted'!I13</f>
        <v>0.9945661373398218</v>
      </c>
      <c r="J2">
        <f>'BCDTRtSY-state-adjusted'!J13</f>
        <v>0.99831136798757458</v>
      </c>
      <c r="K2">
        <f>'BCDTRtSY-state-adjusted'!K13</f>
        <v>1.0007747883065383</v>
      </c>
      <c r="L2">
        <f>'BCDTRtSY-state-adjusted'!L13</f>
        <v>1.0051232167383848</v>
      </c>
      <c r="M2">
        <f>'BCDTRtSY-state-adjusted'!M13</f>
        <v>1.0101498404446876</v>
      </c>
      <c r="N2">
        <f>'BCDTRtSY-state-adjusted'!N13</f>
        <v>1.0154923821939192</v>
      </c>
      <c r="O2">
        <f>'BCDTRtSY-state-adjusted'!O13</f>
        <v>1.0220483018232931</v>
      </c>
      <c r="P2">
        <f>'BCDTRtSY-state-adjusted'!P13</f>
        <v>1.0297808550378094</v>
      </c>
      <c r="Q2">
        <f>'BCDTRtSY-state-adjusted'!Q13</f>
        <v>1.0378431316202206</v>
      </c>
      <c r="R2">
        <f>'BCDTRtSY-state-adjusted'!R13</f>
        <v>1.0463762006062518</v>
      </c>
      <c r="S2">
        <f>'BCDTRtSY-state-adjusted'!S13</f>
        <v>1.0536341920308729</v>
      </c>
      <c r="T2">
        <f>'BCDTRtSY-state-adjusted'!T13</f>
        <v>1.0602638766625656</v>
      </c>
      <c r="U2">
        <f>'BCDTRtSY-state-adjusted'!U13</f>
        <v>1.0643930833789039</v>
      </c>
      <c r="V2">
        <f>'BCDTRtSY-state-adjusted'!V13</f>
        <v>1.0682406634515877</v>
      </c>
      <c r="W2">
        <f>'BCDTRtSY-state-adjusted'!W13</f>
        <v>1.0733684590663475</v>
      </c>
      <c r="X2">
        <f>'BCDTRtSY-state-adjusted'!X13</f>
        <v>1.0789153277149348</v>
      </c>
      <c r="Y2">
        <f>'BCDTRtSY-state-adjusted'!Y13</f>
        <v>1.0850844217326236</v>
      </c>
      <c r="Z2">
        <f>'BCDTRtSY-state-adjusted'!Z13</f>
        <v>1.0900080055299404</v>
      </c>
      <c r="AA2">
        <f>'BCDTRtSY-state-adjusted'!AA13</f>
        <v>1.0956432083340046</v>
      </c>
      <c r="AB2">
        <f>'BCDTRtSY-state-adjusted'!AB13</f>
        <v>1.1005311067752999</v>
      </c>
    </row>
    <row r="3" spans="1:28">
      <c r="A3" t="s">
        <v>118</v>
      </c>
      <c r="B3">
        <f>'BCDTRtSY-state-adjusted'!B14</f>
        <v>1</v>
      </c>
      <c r="C3">
        <f>'BCDTRtSY-state-adjusted'!C14</f>
        <v>1</v>
      </c>
      <c r="D3">
        <f>'BCDTRtSY-state-adjusted'!D14</f>
        <v>1.00753068238901</v>
      </c>
      <c r="E3">
        <f>'BCDTRtSY-state-adjusted'!E14</f>
        <v>1.0192336086868399</v>
      </c>
      <c r="F3">
        <f>'BCDTRtSY-state-adjusted'!F14</f>
        <v>1.0300152904362168</v>
      </c>
      <c r="G3">
        <f>'BCDTRtSY-state-adjusted'!G14</f>
        <v>1.0381723553849755</v>
      </c>
      <c r="H3">
        <f>'BCDTRtSY-state-adjusted'!H14</f>
        <v>1.0486285730166198</v>
      </c>
      <c r="I3">
        <f>'BCDTRtSY-state-adjusted'!I14</f>
        <v>1.0540484804823007</v>
      </c>
      <c r="J3">
        <f>'BCDTRtSY-state-adjusted'!J14</f>
        <v>1.0603405020729908</v>
      </c>
      <c r="K3">
        <f>'BCDTRtSY-state-adjusted'!K14</f>
        <v>1.0644557716489476</v>
      </c>
      <c r="L3">
        <f>'BCDTRtSY-state-adjusted'!L14</f>
        <v>1.0697817112577053</v>
      </c>
      <c r="M3">
        <f>'BCDTRtSY-state-adjusted'!M14</f>
        <v>1.0749506601187522</v>
      </c>
      <c r="N3">
        <f>'BCDTRtSY-state-adjusted'!N14</f>
        <v>1.0793139177914031</v>
      </c>
      <c r="O3">
        <f>'BCDTRtSY-state-adjusted'!O14</f>
        <v>1.0829773059466175</v>
      </c>
      <c r="P3">
        <f>'BCDTRtSY-state-adjusted'!P14</f>
        <v>1.0856407539604418</v>
      </c>
      <c r="Q3">
        <f>'BCDTRtSY-state-adjusted'!Q14</f>
        <v>1.0877388047378778</v>
      </c>
      <c r="R3">
        <f>'BCDTRtSY-state-adjusted'!R14</f>
        <v>1.0899982484965498</v>
      </c>
      <c r="S3">
        <f>'BCDTRtSY-state-adjusted'!S14</f>
        <v>1.0916953664163067</v>
      </c>
      <c r="T3">
        <f>'BCDTRtSY-state-adjusted'!T14</f>
        <v>1.0928631070062136</v>
      </c>
      <c r="U3">
        <f>'BCDTRtSY-state-adjusted'!U14</f>
        <v>1.0930370750485059</v>
      </c>
      <c r="V3">
        <f>'BCDTRtSY-state-adjusted'!V14</f>
        <v>1.0935029049314804</v>
      </c>
      <c r="W3">
        <f>'BCDTRtSY-state-adjusted'!W14</f>
        <v>1.0957499048765995</v>
      </c>
      <c r="X3">
        <f>'BCDTRtSY-state-adjusted'!X14</f>
        <v>1.0981768680233506</v>
      </c>
      <c r="Y3">
        <f>'BCDTRtSY-state-adjusted'!Y14</f>
        <v>1.1004913063233366</v>
      </c>
      <c r="Z3">
        <f>'BCDTRtSY-state-adjusted'!Z14</f>
        <v>1.100764735111198</v>
      </c>
      <c r="AA3">
        <f>'BCDTRtSY-state-adjusted'!AA14</f>
        <v>1.1009535714852214</v>
      </c>
      <c r="AB3">
        <f>'BCDTRtSY-state-adjusted'!AB14</f>
        <v>1.1005968602730929</v>
      </c>
    </row>
    <row r="4" spans="1:28">
      <c r="A4" t="s">
        <v>116</v>
      </c>
      <c r="B4">
        <f>'BCDTRtSY-state-adjusted'!B15</f>
        <v>1</v>
      </c>
      <c r="C4">
        <f>'BCDTRtSY-state-adjusted'!C15</f>
        <v>1</v>
      </c>
      <c r="D4">
        <f>'BCDTRtSY-state-adjusted'!D15</f>
        <v>1.0235494973925074</v>
      </c>
      <c r="E4">
        <f>'BCDTRtSY-state-adjusted'!E15</f>
        <v>1.0392423317006347</v>
      </c>
      <c r="F4">
        <f>'BCDTRtSY-state-adjusted'!F15</f>
        <v>1.0484422730872547</v>
      </c>
      <c r="G4">
        <f>'BCDTRtSY-state-adjusted'!G15</f>
        <v>1.0612478339808429</v>
      </c>
      <c r="H4">
        <f>'BCDTRtSY-state-adjusted'!H15</f>
        <v>1.0769219879131853</v>
      </c>
      <c r="I4">
        <f>'BCDTRtSY-state-adjusted'!I15</f>
        <v>1.0914969622766435</v>
      </c>
      <c r="J4">
        <f>'BCDTRtSY-state-adjusted'!J15</f>
        <v>1.1090461964302454</v>
      </c>
      <c r="K4">
        <f>'BCDTRtSY-state-adjusted'!K15</f>
        <v>1.1279370220704752</v>
      </c>
      <c r="L4">
        <f>'BCDTRtSY-state-adjusted'!L15</f>
        <v>1.148459249474334</v>
      </c>
      <c r="M4">
        <f>'BCDTRtSY-state-adjusted'!M15</f>
        <v>1.1707135688582444</v>
      </c>
      <c r="N4">
        <f>'BCDTRtSY-state-adjusted'!N15</f>
        <v>1.1884835439274486</v>
      </c>
      <c r="O4">
        <f>'BCDTRtSY-state-adjusted'!O15</f>
        <v>1.2063433082103532</v>
      </c>
      <c r="P4">
        <f>'BCDTRtSY-state-adjusted'!P15</f>
        <v>1.2240746117444499</v>
      </c>
      <c r="Q4">
        <f>'BCDTRtSY-state-adjusted'!Q15</f>
        <v>1.2411819898011061</v>
      </c>
      <c r="R4">
        <f>'BCDTRtSY-state-adjusted'!R15</f>
        <v>1.2586233898017569</v>
      </c>
      <c r="S4">
        <f>'BCDTRtSY-state-adjusted'!S15</f>
        <v>1.2748148125172505</v>
      </c>
      <c r="T4">
        <f>'BCDTRtSY-state-adjusted'!T15</f>
        <v>1.2917115533400376</v>
      </c>
      <c r="U4">
        <f>'BCDTRtSY-state-adjusted'!U15</f>
        <v>1.3094696248382396</v>
      </c>
      <c r="V4">
        <f>'BCDTRtSY-state-adjusted'!V15</f>
        <v>1.327171524099813</v>
      </c>
      <c r="W4">
        <f>'BCDTRtSY-state-adjusted'!W15</f>
        <v>1.3449528122609757</v>
      </c>
      <c r="X4">
        <f>'BCDTRtSY-state-adjusted'!X15</f>
        <v>1.362073067684362</v>
      </c>
      <c r="Y4">
        <f>'BCDTRtSY-state-adjusted'!Y15</f>
        <v>1.3779145259097749</v>
      </c>
      <c r="Z4">
        <f>'BCDTRtSY-state-adjusted'!Z15</f>
        <v>1.3938814367364314</v>
      </c>
      <c r="AA4">
        <f>'BCDTRtSY-state-adjusted'!AA15</f>
        <v>1.4091704379637089</v>
      </c>
      <c r="AB4">
        <f>'BCDTRtSY-state-adjusted'!AB15</f>
        <v>1.4248063810619325</v>
      </c>
    </row>
    <row r="5" spans="1:28">
      <c r="A5" t="s">
        <v>121</v>
      </c>
      <c r="B5">
        <f>'BCDTRtSY-state-adjusted'!B16</f>
        <v>1</v>
      </c>
      <c r="C5">
        <f>'BCDTRtSY-state-adjusted'!C16</f>
        <v>1</v>
      </c>
      <c r="D5">
        <f>'BCDTRtSY-state-adjusted'!D16</f>
        <v>0.97414850780575013</v>
      </c>
      <c r="E5">
        <f>'BCDTRtSY-state-adjusted'!E16</f>
        <v>1.002343532982825</v>
      </c>
      <c r="F5">
        <f>'BCDTRtSY-state-adjusted'!F16</f>
        <v>0.97866251336220922</v>
      </c>
      <c r="G5">
        <f>'BCDTRtSY-state-adjusted'!G16</f>
        <v>0.96785934627992243</v>
      </c>
      <c r="H5">
        <f>'BCDTRtSY-state-adjusted'!H16</f>
        <v>0.97122794315574512</v>
      </c>
      <c r="I5">
        <f>'BCDTRtSY-state-adjusted'!I16</f>
        <v>0.94280857339021018</v>
      </c>
      <c r="J5">
        <f>'BCDTRtSY-state-adjusted'!J16</f>
        <v>0.94326020975768243</v>
      </c>
      <c r="K5">
        <f>'BCDTRtSY-state-adjusted'!K16</f>
        <v>0.94384939599675122</v>
      </c>
      <c r="L5">
        <f>'BCDTRtSY-state-adjusted'!L16</f>
        <v>0.93770195948635549</v>
      </c>
      <c r="M5">
        <f>'BCDTRtSY-state-adjusted'!M16</f>
        <v>0.93730485960074539</v>
      </c>
      <c r="N5">
        <f>'BCDTRtSY-state-adjusted'!N16</f>
        <v>0.93607740530377059</v>
      </c>
      <c r="O5">
        <f>'BCDTRtSY-state-adjusted'!O16</f>
        <v>0.93617935637080929</v>
      </c>
      <c r="P5">
        <f>'BCDTRtSY-state-adjusted'!P16</f>
        <v>0.93313606682075434</v>
      </c>
      <c r="Q5">
        <f>'BCDTRtSY-state-adjusted'!Q16</f>
        <v>0.93160647076666303</v>
      </c>
      <c r="R5">
        <f>'BCDTRtSY-state-adjusted'!R16</f>
        <v>0.92913719398516492</v>
      </c>
      <c r="S5">
        <f>'BCDTRtSY-state-adjusted'!S16</f>
        <v>0.92466864796319626</v>
      </c>
      <c r="T5">
        <f>'BCDTRtSY-state-adjusted'!T16</f>
        <v>0.91821118554553816</v>
      </c>
      <c r="U5">
        <f>'BCDTRtSY-state-adjusted'!U16</f>
        <v>0.91238813219500858</v>
      </c>
      <c r="V5">
        <f>'BCDTRtSY-state-adjusted'!V16</f>
        <v>0.90891757290678543</v>
      </c>
      <c r="W5">
        <f>'BCDTRtSY-state-adjusted'!W16</f>
        <v>0.90490075923622404</v>
      </c>
      <c r="X5">
        <f>'BCDTRtSY-state-adjusted'!X16</f>
        <v>0.90324976930491485</v>
      </c>
      <c r="Y5">
        <f>'BCDTRtSY-state-adjusted'!Y16</f>
        <v>0.90501880852849836</v>
      </c>
      <c r="Z5">
        <f>'BCDTRtSY-state-adjusted'!Z16</f>
        <v>0.90433607032322838</v>
      </c>
      <c r="AA5">
        <f>'BCDTRtSY-state-adjusted'!AA16</f>
        <v>0.89823305282716603</v>
      </c>
      <c r="AB5">
        <f>'BCDTRtSY-state-adjusted'!AB16</f>
        <v>0.89277438464067671</v>
      </c>
    </row>
    <row r="6" spans="1:28">
      <c r="A6" t="s">
        <v>122</v>
      </c>
      <c r="B6">
        <f>'BCDTRtSY-state-adjusted'!B17</f>
        <v>1</v>
      </c>
      <c r="C6">
        <f>'BCDTRtSY-state-adjusted'!C17</f>
        <v>1</v>
      </c>
      <c r="D6">
        <f>'BCDTRtSY-state-adjusted'!D17</f>
        <v>0.98897233668651285</v>
      </c>
      <c r="E6">
        <f>'BCDTRtSY-state-adjusted'!E17</f>
        <v>1.0048441125523817</v>
      </c>
      <c r="F6">
        <f>'BCDTRtSY-state-adjusted'!F17</f>
        <v>1.02262328977031</v>
      </c>
      <c r="G6">
        <f>'BCDTRtSY-state-adjusted'!G17</f>
        <v>1.0369668163525876</v>
      </c>
      <c r="H6">
        <f>'BCDTRtSY-state-adjusted'!H17</f>
        <v>1.0521321762323215</v>
      </c>
      <c r="I6">
        <f>'BCDTRtSY-state-adjusted'!I17</f>
        <v>1.0651714417649898</v>
      </c>
      <c r="J6">
        <f>'BCDTRtSY-state-adjusted'!J17</f>
        <v>1.0801196452022241</v>
      </c>
      <c r="K6">
        <f>'BCDTRtSY-state-adjusted'!K17</f>
        <v>1.0952442115168826</v>
      </c>
      <c r="L6">
        <f>'BCDTRtSY-state-adjusted'!L17</f>
        <v>1.1109578224387011</v>
      </c>
      <c r="M6">
        <f>'BCDTRtSY-state-adjusted'!M17</f>
        <v>1.1275349153264487</v>
      </c>
      <c r="N6">
        <f>'BCDTRtSY-state-adjusted'!N17</f>
        <v>1.1401072146047999</v>
      </c>
      <c r="O6">
        <f>'BCDTRtSY-state-adjusted'!O17</f>
        <v>1.1493572033445381</v>
      </c>
      <c r="P6">
        <f>'BCDTRtSY-state-adjusted'!P17</f>
        <v>1.1585255798801766</v>
      </c>
      <c r="Q6">
        <f>'BCDTRtSY-state-adjusted'!Q17</f>
        <v>1.1664875033789688</v>
      </c>
      <c r="R6">
        <f>'BCDTRtSY-state-adjusted'!R17</f>
        <v>1.1744632486325706</v>
      </c>
      <c r="S6">
        <f>'BCDTRtSY-state-adjusted'!S17</f>
        <v>1.1816774678604791</v>
      </c>
      <c r="T6">
        <f>'BCDTRtSY-state-adjusted'!T17</f>
        <v>1.1898321745944498</v>
      </c>
      <c r="U6">
        <f>'BCDTRtSY-state-adjusted'!U17</f>
        <v>1.1975091794279666</v>
      </c>
      <c r="V6">
        <f>'BCDTRtSY-state-adjusted'!V17</f>
        <v>1.2049699012397848</v>
      </c>
      <c r="W6">
        <f>'BCDTRtSY-state-adjusted'!W17</f>
        <v>1.2136295293942758</v>
      </c>
      <c r="X6">
        <f>'BCDTRtSY-state-adjusted'!X17</f>
        <v>1.222352912221635</v>
      </c>
      <c r="Y6">
        <f>'BCDTRtSY-state-adjusted'!Y17</f>
        <v>1.2311717556558592</v>
      </c>
      <c r="Z6">
        <f>'BCDTRtSY-state-adjusted'!Z17</f>
        <v>1.2391886757937101</v>
      </c>
      <c r="AA6">
        <f>'BCDTRtSY-state-adjusted'!AA17</f>
        <v>1.2468404067779186</v>
      </c>
      <c r="AB6">
        <f>'BCDTRtSY-state-adjusted'!AB17</f>
        <v>1.2557474075006791</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2026-08-14T21:49:07Z</dcterms:modified>
</cp:coreProperties>
</file>
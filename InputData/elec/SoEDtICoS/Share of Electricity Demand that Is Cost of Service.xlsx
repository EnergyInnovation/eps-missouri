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MO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1775</v>
      </c>
      <c r="C4" t="inlineStr">
        <is>
          <t>Black River Electric Coop - (MO)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MO</t>
        </is>
      </c>
      <c r="H4" t="inlineStr">
        <is>
          <t>Cooperative</t>
        </is>
      </c>
      <c r="I4" t="inlineStr">
        <is>
          <t>AECI</t>
        </is>
      </c>
      <c r="J4" t="n">
        <v>36664</v>
      </c>
      <c r="K4" t="n">
        <v>286283</v>
      </c>
      <c r="L4" t="n">
        <v>21575</v>
      </c>
      <c r="M4" t="n">
        <v>16384</v>
      </c>
      <c r="N4" t="n">
        <v>138800</v>
      </c>
      <c r="O4" t="n">
        <v>3979</v>
      </c>
      <c r="P4" t="n">
        <v>1504</v>
      </c>
      <c r="Q4" t="n">
        <v>20851</v>
      </c>
      <c r="R4" t="n">
        <v>2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54552</v>
      </c>
      <c r="W4" t="n">
        <v>445934</v>
      </c>
      <c r="X4" t="n">
        <v>25556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2001</v>
      </c>
      <c r="C5" t="inlineStr">
        <is>
          <t>Boone Electric Coop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MO</t>
        </is>
      </c>
      <c r="H5" t="inlineStr">
        <is>
          <t>Cooperative</t>
        </is>
      </c>
      <c r="I5" t="inlineStr">
        <is>
          <t>AECI</t>
        </is>
      </c>
      <c r="J5" t="n">
        <v>57566</v>
      </c>
      <c r="K5" t="n">
        <v>429513</v>
      </c>
      <c r="L5" t="n">
        <v>33806</v>
      </c>
      <c r="M5" t="n">
        <v>10657</v>
      </c>
      <c r="N5" t="n">
        <v>99157</v>
      </c>
      <c r="O5" t="n">
        <v>1344</v>
      </c>
      <c r="P5" t="n">
        <v>4296</v>
      </c>
      <c r="Q5" t="n">
        <v>42439</v>
      </c>
      <c r="R5" t="n">
        <v>7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72519</v>
      </c>
      <c r="W5" t="n">
        <v>571109</v>
      </c>
      <c r="X5" t="n">
        <v>35157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3093</v>
      </c>
      <c r="C6" t="inlineStr">
        <is>
          <t>Carroll Electric Coop Corp - (AR)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MO</t>
        </is>
      </c>
      <c r="H6" t="inlineStr">
        <is>
          <t>Cooperative</t>
        </is>
      </c>
      <c r="I6" t="inlineStr">
        <is>
          <t>SWPP</t>
        </is>
      </c>
      <c r="J6" t="n">
        <v>16589</v>
      </c>
      <c r="K6" t="n">
        <v>130620</v>
      </c>
      <c r="L6" t="n">
        <v>12109</v>
      </c>
      <c r="M6" t="n">
        <v>2991</v>
      </c>
      <c r="N6" t="n">
        <v>26360</v>
      </c>
      <c r="O6" t="n">
        <v>1014</v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19580</v>
      </c>
      <c r="W6" t="n">
        <v>156980</v>
      </c>
      <c r="X6" t="n">
        <v>13123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3113</v>
      </c>
      <c r="C7" t="inlineStr">
        <is>
          <t>City of Carthage - (MO)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MO</t>
        </is>
      </c>
      <c r="H7" t="inlineStr">
        <is>
          <t>Municipal</t>
        </is>
      </c>
      <c r="I7" t="inlineStr">
        <is>
          <t>SWPP</t>
        </is>
      </c>
      <c r="J7" t="n">
        <v>11087</v>
      </c>
      <c r="K7" t="n">
        <v>78868</v>
      </c>
      <c r="L7" t="n">
        <v>7106</v>
      </c>
      <c r="M7" t="n">
        <v>7504</v>
      </c>
      <c r="N7" t="n">
        <v>61500</v>
      </c>
      <c r="O7" t="n">
        <v>1119</v>
      </c>
      <c r="P7" t="n">
        <v>13494</v>
      </c>
      <c r="Q7" t="n">
        <v>139595</v>
      </c>
      <c r="R7" t="n">
        <v>26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32085</v>
      </c>
      <c r="W7" t="n">
        <v>279963</v>
      </c>
      <c r="X7" t="n">
        <v>8251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3268</v>
      </c>
      <c r="C8" t="inlineStr">
        <is>
          <t>Central Missouri Elec Coop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MO</t>
        </is>
      </c>
      <c r="H8" t="inlineStr">
        <is>
          <t>Cooperative</t>
        </is>
      </c>
      <c r="I8" t="inlineStr">
        <is>
          <t>AECI</t>
        </is>
      </c>
      <c r="J8" t="n">
        <v>22833</v>
      </c>
      <c r="K8" t="n">
        <v>182465</v>
      </c>
      <c r="L8" t="n">
        <v>11167</v>
      </c>
      <c r="M8" t="n">
        <v>3406.5</v>
      </c>
      <c r="N8" t="n">
        <v>30985</v>
      </c>
      <c r="O8" t="n">
        <v>364</v>
      </c>
      <c r="P8" t="n">
        <v>8177.7</v>
      </c>
      <c r="Q8" t="n">
        <v>113698</v>
      </c>
      <c r="R8" t="n">
        <v>3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34417.2</v>
      </c>
      <c r="W8" t="n">
        <v>327148</v>
      </c>
      <c r="X8" t="n">
        <v>11534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3600</v>
      </c>
      <c r="C9" t="inlineStr">
        <is>
          <t>Citizens Electric Corporation - (MO)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MO</t>
        </is>
      </c>
      <c r="H9" t="inlineStr">
        <is>
          <t>Cooperative</t>
        </is>
      </c>
      <c r="I9" t="inlineStr">
        <is>
          <t>MISO</t>
        </is>
      </c>
      <c r="J9" t="n">
        <v>44849.3</v>
      </c>
      <c r="K9" t="n">
        <v>292472</v>
      </c>
      <c r="L9" t="n">
        <v>24826</v>
      </c>
      <c r="M9" t="n">
        <v>12151</v>
      </c>
      <c r="N9" t="n">
        <v>90081</v>
      </c>
      <c r="O9" t="n">
        <v>2817</v>
      </c>
      <c r="P9" t="n">
        <v>80790.3</v>
      </c>
      <c r="Q9" t="n">
        <v>1286811</v>
      </c>
      <c r="R9" t="n">
        <v>127</v>
      </c>
      <c r="S9" t="n">
        <v>0</v>
      </c>
      <c r="T9" t="n">
        <v>0</v>
      </c>
      <c r="U9" t="n">
        <v>0</v>
      </c>
      <c r="V9" t="n">
        <v>137790.6</v>
      </c>
      <c r="W9" t="n">
        <v>1669364</v>
      </c>
      <c r="X9" t="n">
        <v>27770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3712</v>
      </c>
      <c r="C10" t="inlineStr">
        <is>
          <t>Clay County Electric Coop Corp - (AR)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MO</t>
        </is>
      </c>
      <c r="H10" t="inlineStr">
        <is>
          <t>Cooperative</t>
        </is>
      </c>
      <c r="I10" t="inlineStr">
        <is>
          <t>MISO</t>
        </is>
      </c>
      <c r="J10" t="n">
        <v>72.90000000000001</v>
      </c>
      <c r="K10" t="n">
        <v>500</v>
      </c>
      <c r="L10" t="n">
        <v>48</v>
      </c>
      <c r="M10" t="n">
        <v>16.5</v>
      </c>
      <c r="N10" t="n">
        <v>141</v>
      </c>
      <c r="O10" t="n">
        <v>5</v>
      </c>
      <c r="P10" t="inlineStr">
        <is>
          <t>.</t>
        </is>
      </c>
      <c r="Q10" t="inlineStr">
        <is>
          <t>.</t>
        </is>
      </c>
      <c r="R10" t="inlineStr">
        <is>
          <t>.</t>
        </is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89.40000000000001</v>
      </c>
      <c r="W10" t="n">
        <v>641</v>
      </c>
      <c r="X10" t="n">
        <v>53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4045</v>
      </c>
      <c r="C11" t="inlineStr">
        <is>
          <t>City of Columbia - (MO)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MO</t>
        </is>
      </c>
      <c r="H11" t="inlineStr">
        <is>
          <t>Municipal</t>
        </is>
      </c>
      <c r="I11" t="inlineStr">
        <is>
          <t>MISO</t>
        </is>
      </c>
      <c r="J11" t="n">
        <v>59891</v>
      </c>
      <c r="K11" t="n">
        <v>429787</v>
      </c>
      <c r="L11" t="n">
        <v>45651</v>
      </c>
      <c r="M11" t="n">
        <v>51441</v>
      </c>
      <c r="N11" t="n">
        <v>451891</v>
      </c>
      <c r="O11" t="n">
        <v>7597</v>
      </c>
      <c r="P11" t="n">
        <v>26415</v>
      </c>
      <c r="Q11" t="n">
        <v>270015</v>
      </c>
      <c r="R11" t="n">
        <v>28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137747</v>
      </c>
      <c r="W11" t="n">
        <v>1151693</v>
      </c>
      <c r="X11" t="n">
        <v>53276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4063</v>
      </c>
      <c r="C12" t="inlineStr">
        <is>
          <t>Co-Mo Electric Coop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MO</t>
        </is>
      </c>
      <c r="H12" t="inlineStr">
        <is>
          <t>Cooperative</t>
        </is>
      </c>
      <c r="I12" t="inlineStr">
        <is>
          <t>AECI</t>
        </is>
      </c>
      <c r="J12" t="n">
        <v>60709</v>
      </c>
      <c r="K12" t="n">
        <v>399938</v>
      </c>
      <c r="L12" t="n">
        <v>31119</v>
      </c>
      <c r="M12" t="n">
        <v>8775</v>
      </c>
      <c r="N12" t="n">
        <v>66541</v>
      </c>
      <c r="O12" t="n">
        <v>2279</v>
      </c>
      <c r="P12" t="n">
        <v>1009</v>
      </c>
      <c r="Q12" t="n">
        <v>11275</v>
      </c>
      <c r="R12" t="n">
        <v>1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70493</v>
      </c>
      <c r="W12" t="n">
        <v>477754</v>
      </c>
      <c r="X12" t="n">
        <v>33399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4160</v>
      </c>
      <c r="C13" t="inlineStr">
        <is>
          <t>Callaway Electric Cooperative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MO</t>
        </is>
      </c>
      <c r="H13" t="inlineStr">
        <is>
          <t>Cooperative</t>
        </is>
      </c>
      <c r="I13" t="inlineStr">
        <is>
          <t>AECI</t>
        </is>
      </c>
      <c r="J13" t="n">
        <v>28509.4</v>
      </c>
      <c r="K13" t="n">
        <v>175061</v>
      </c>
      <c r="L13" t="n">
        <v>12647</v>
      </c>
      <c r="M13" t="n">
        <v>5829.5</v>
      </c>
      <c r="N13" t="n">
        <v>49865</v>
      </c>
      <c r="O13" t="n">
        <v>883</v>
      </c>
      <c r="P13" t="inlineStr">
        <is>
          <t>.</t>
        </is>
      </c>
      <c r="Q13" t="inlineStr">
        <is>
          <t>.</t>
        </is>
      </c>
      <c r="R13" t="inlineStr">
        <is>
          <t>.</t>
        </is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34338.9</v>
      </c>
      <c r="W13" t="n">
        <v>224926</v>
      </c>
      <c r="X13" t="n">
        <v>13530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4237</v>
      </c>
      <c r="C14" t="inlineStr">
        <is>
          <t>Consolidated Electric Coop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MO</t>
        </is>
      </c>
      <c r="H14" t="inlineStr">
        <is>
          <t>Cooperative</t>
        </is>
      </c>
      <c r="I14" t="inlineStr">
        <is>
          <t>AECI</t>
        </is>
      </c>
      <c r="J14" t="n">
        <v>15022</v>
      </c>
      <c r="K14" t="n">
        <v>115909</v>
      </c>
      <c r="L14" t="n">
        <v>7649</v>
      </c>
      <c r="M14" t="n">
        <v>3307</v>
      </c>
      <c r="N14" t="n">
        <v>29945</v>
      </c>
      <c r="O14" t="n">
        <v>579</v>
      </c>
      <c r="P14" t="n">
        <v>8496</v>
      </c>
      <c r="Q14" t="n">
        <v>84733</v>
      </c>
      <c r="R14" t="n">
        <v>87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26825</v>
      </c>
      <c r="W14" t="n">
        <v>230587</v>
      </c>
      <c r="X14" t="n">
        <v>8315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4524</v>
      </c>
      <c r="C15" t="inlineStr">
        <is>
          <t>Crawford Electric Coop, Inc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MO</t>
        </is>
      </c>
      <c r="H15" t="inlineStr">
        <is>
          <t>Cooperative</t>
        </is>
      </c>
      <c r="I15" t="inlineStr">
        <is>
          <t>AECI</t>
        </is>
      </c>
      <c r="J15" t="n">
        <v>33542</v>
      </c>
      <c r="K15" t="n">
        <v>262433</v>
      </c>
      <c r="L15" t="n">
        <v>19775</v>
      </c>
      <c r="M15" t="n">
        <v>5322.8</v>
      </c>
      <c r="N15" t="n">
        <v>49209</v>
      </c>
      <c r="O15" t="n">
        <v>1752</v>
      </c>
      <c r="P15" t="n">
        <v>245.4</v>
      </c>
      <c r="Q15" t="n">
        <v>3301</v>
      </c>
      <c r="R15" t="n">
        <v>3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39110.2</v>
      </c>
      <c r="W15" t="n">
        <v>314943</v>
      </c>
      <c r="X15" t="n">
        <v>21530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4675</v>
      </c>
      <c r="C16" t="inlineStr">
        <is>
          <t>Cuivre River Electric Coop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MO</t>
        </is>
      </c>
      <c r="H16" t="inlineStr">
        <is>
          <t>Cooperative</t>
        </is>
      </c>
      <c r="I16" t="inlineStr">
        <is>
          <t>AECI</t>
        </is>
      </c>
      <c r="J16" t="n">
        <v>122727.7</v>
      </c>
      <c r="K16" t="n">
        <v>1108303</v>
      </c>
      <c r="L16" t="n">
        <v>72974</v>
      </c>
      <c r="M16" t="n">
        <v>5794.5</v>
      </c>
      <c r="N16" t="n">
        <v>50072</v>
      </c>
      <c r="O16" t="n">
        <v>1346</v>
      </c>
      <c r="P16" t="n">
        <v>19109.9</v>
      </c>
      <c r="Q16" t="n">
        <v>236182</v>
      </c>
      <c r="R16" t="n">
        <v>233</v>
      </c>
      <c r="S16" t="n">
        <v>0</v>
      </c>
      <c r="T16" t="n">
        <v>0</v>
      </c>
      <c r="U16" t="n">
        <v>0</v>
      </c>
      <c r="V16" t="n">
        <v>147632.1</v>
      </c>
      <c r="W16" t="n">
        <v>1394557</v>
      </c>
      <c r="X16" t="n">
        <v>74553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5860</v>
      </c>
      <c r="C17" t="inlineStr">
        <is>
          <t>Empire District Electric Co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MO</t>
        </is>
      </c>
      <c r="H17" t="inlineStr">
        <is>
          <t>Investor Owned</t>
        </is>
      </c>
      <c r="I17" t="inlineStr">
        <is>
          <t>SWPP</t>
        </is>
      </c>
      <c r="J17" t="n">
        <v>258851</v>
      </c>
      <c r="K17" t="n">
        <v>1727154</v>
      </c>
      <c r="L17" t="n">
        <v>142537</v>
      </c>
      <c r="M17" t="n">
        <v>198305.6</v>
      </c>
      <c r="N17" t="n">
        <v>1543586</v>
      </c>
      <c r="O17" t="n">
        <v>25159</v>
      </c>
      <c r="P17" t="n">
        <v>91307.5</v>
      </c>
      <c r="Q17" t="n">
        <v>949398</v>
      </c>
      <c r="R17" t="n">
        <v>280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548464.1</v>
      </c>
      <c r="W17" t="n">
        <v>4220138</v>
      </c>
      <c r="X17" t="n">
        <v>167976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6181</v>
      </c>
      <c r="C18" t="inlineStr">
        <is>
          <t>Farmers Electric Coop, Inc - (MO)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MO</t>
        </is>
      </c>
      <c r="H18" t="inlineStr">
        <is>
          <t>Cooperative</t>
        </is>
      </c>
      <c r="I18" t="inlineStr">
        <is>
          <t>AECI</t>
        </is>
      </c>
      <c r="J18" t="n">
        <v>21636.1</v>
      </c>
      <c r="K18" t="n">
        <v>162047</v>
      </c>
      <c r="L18" t="n">
        <v>12451</v>
      </c>
      <c r="M18" t="n">
        <v>4503.2</v>
      </c>
      <c r="N18" t="n">
        <v>40227</v>
      </c>
      <c r="O18" t="n">
        <v>1181</v>
      </c>
      <c r="P18" t="n">
        <v>5379.7</v>
      </c>
      <c r="Q18" t="n">
        <v>76136</v>
      </c>
      <c r="R18" t="n">
        <v>9</v>
      </c>
      <c r="S18" t="n">
        <v>0</v>
      </c>
      <c r="T18" t="n">
        <v>0</v>
      </c>
      <c r="U18" t="n">
        <v>0</v>
      </c>
      <c r="V18" t="n">
        <v>31519</v>
      </c>
      <c r="W18" t="n">
        <v>278410</v>
      </c>
      <c r="X18" t="n">
        <v>13641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6205</v>
      </c>
      <c r="C19" t="inlineStr">
        <is>
          <t>City of Farmington - (MO)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MO</t>
        </is>
      </c>
      <c r="H19" t="inlineStr">
        <is>
          <t>Municipal</t>
        </is>
      </c>
      <c r="I19" t="inlineStr">
        <is>
          <t>MISO</t>
        </is>
      </c>
      <c r="J19" t="n">
        <v>9495.799999999999</v>
      </c>
      <c r="K19" t="n">
        <v>92950</v>
      </c>
      <c r="L19" t="n">
        <v>7250</v>
      </c>
      <c r="M19" t="n">
        <v>2228.9</v>
      </c>
      <c r="N19" t="n">
        <v>21050</v>
      </c>
      <c r="O19" t="n">
        <v>970</v>
      </c>
      <c r="P19" t="n">
        <v>6399.8</v>
      </c>
      <c r="Q19" t="n">
        <v>79100</v>
      </c>
      <c r="R19" t="n">
        <v>180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18124.5</v>
      </c>
      <c r="W19" t="n">
        <v>193100</v>
      </c>
      <c r="X19" t="n">
        <v>8400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7024</v>
      </c>
      <c r="C20" t="inlineStr">
        <is>
          <t>Gascosage Electric Coop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MO</t>
        </is>
      </c>
      <c r="H20" t="inlineStr">
        <is>
          <t>Cooperative</t>
        </is>
      </c>
      <c r="I20" t="inlineStr">
        <is>
          <t>AECI</t>
        </is>
      </c>
      <c r="J20" t="n">
        <v>16576</v>
      </c>
      <c r="K20" t="n">
        <v>134800</v>
      </c>
      <c r="L20" t="n">
        <v>9253</v>
      </c>
      <c r="M20" t="n">
        <v>3125</v>
      </c>
      <c r="N20" t="n">
        <v>25873</v>
      </c>
      <c r="O20" t="n">
        <v>930</v>
      </c>
      <c r="P20" t="n">
        <v>3214</v>
      </c>
      <c r="Q20" t="n">
        <v>39743</v>
      </c>
      <c r="R20" t="n">
        <v>2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22915</v>
      </c>
      <c r="W20" t="n">
        <v>200416</v>
      </c>
      <c r="X20" t="n">
        <v>10185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8055</v>
      </c>
      <c r="C21" t="inlineStr">
        <is>
          <t>City of Hannibal - (MO)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MO</t>
        </is>
      </c>
      <c r="H21" t="inlineStr">
        <is>
          <t>Municipal</t>
        </is>
      </c>
      <c r="I21" t="inlineStr">
        <is>
          <t>MISO</t>
        </is>
      </c>
      <c r="J21" t="n">
        <v>10012</v>
      </c>
      <c r="K21" t="n">
        <v>77552</v>
      </c>
      <c r="L21" t="n">
        <v>7639</v>
      </c>
      <c r="M21" t="n">
        <v>3627.2</v>
      </c>
      <c r="N21" t="n">
        <v>27458</v>
      </c>
      <c r="O21" t="n">
        <v>1069</v>
      </c>
      <c r="P21" t="n">
        <v>10804</v>
      </c>
      <c r="Q21" t="n">
        <v>118666</v>
      </c>
      <c r="R21" t="n">
        <v>90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24443.2</v>
      </c>
      <c r="W21" t="n">
        <v>223676</v>
      </c>
      <c r="X21" t="n">
        <v>8798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8934</v>
      </c>
      <c r="C22" t="inlineStr">
        <is>
          <t>Howell-Oregon Elec Coop, Inc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MO</t>
        </is>
      </c>
      <c r="H22" t="inlineStr">
        <is>
          <t>Cooperative</t>
        </is>
      </c>
      <c r="I22" t="inlineStr">
        <is>
          <t>AECI</t>
        </is>
      </c>
      <c r="J22" t="n">
        <v>37817.1</v>
      </c>
      <c r="K22" t="n">
        <v>301522</v>
      </c>
      <c r="L22" t="n">
        <v>23101</v>
      </c>
      <c r="M22" t="n">
        <v>6358.1</v>
      </c>
      <c r="N22" t="n">
        <v>57345</v>
      </c>
      <c r="O22" t="n">
        <v>2541</v>
      </c>
      <c r="P22" t="n">
        <v>4415.2</v>
      </c>
      <c r="Q22" t="n">
        <v>46483</v>
      </c>
      <c r="R22" t="n">
        <v>122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48590.4</v>
      </c>
      <c r="W22" t="n">
        <v>405350</v>
      </c>
      <c r="X22" t="n">
        <v>25764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9231</v>
      </c>
      <c r="C23" t="inlineStr">
        <is>
          <t>City of Independence - (MO)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MO</t>
        </is>
      </c>
      <c r="H23" t="inlineStr">
        <is>
          <t>Municipal</t>
        </is>
      </c>
      <c r="I23" t="inlineStr">
        <is>
          <t>SWPP</t>
        </is>
      </c>
      <c r="J23" t="n">
        <v>85546.2</v>
      </c>
      <c r="K23" t="n">
        <v>543440</v>
      </c>
      <c r="L23" t="n">
        <v>53832</v>
      </c>
      <c r="M23" t="n">
        <v>58307.2</v>
      </c>
      <c r="N23" t="n">
        <v>389891</v>
      </c>
      <c r="O23" t="n">
        <v>4944</v>
      </c>
      <c r="P23" t="n">
        <v>6366</v>
      </c>
      <c r="Q23" t="n">
        <v>59664</v>
      </c>
      <c r="R23" t="n">
        <v>13</v>
      </c>
      <c r="S23" t="n">
        <v>0</v>
      </c>
      <c r="T23" t="n">
        <v>0</v>
      </c>
      <c r="U23" t="n">
        <v>0</v>
      </c>
      <c r="V23" t="n">
        <v>150219.4</v>
      </c>
      <c r="W23" t="n">
        <v>992995</v>
      </c>
      <c r="X23" t="n">
        <v>58789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9331</v>
      </c>
      <c r="C24" t="inlineStr">
        <is>
          <t>Intercounty Electric Coop Assn - (MO)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MO</t>
        </is>
      </c>
      <c r="H24" t="inlineStr">
        <is>
          <t>Cooperative</t>
        </is>
      </c>
      <c r="I24" t="inlineStr">
        <is>
          <t>AECI</t>
        </is>
      </c>
      <c r="J24" t="n">
        <v>55773</v>
      </c>
      <c r="K24" t="n">
        <v>428730</v>
      </c>
      <c r="L24" t="n">
        <v>29956</v>
      </c>
      <c r="M24" t="n">
        <v>7153</v>
      </c>
      <c r="N24" t="n">
        <v>69384</v>
      </c>
      <c r="O24" t="n">
        <v>2061</v>
      </c>
      <c r="P24" t="n">
        <v>3100</v>
      </c>
      <c r="Q24" t="n">
        <v>45130</v>
      </c>
      <c r="R24" t="n">
        <v>14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66026</v>
      </c>
      <c r="W24" t="n">
        <v>543244</v>
      </c>
      <c r="X24" t="n">
        <v>32031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10000</v>
      </c>
      <c r="C25" t="inlineStr">
        <is>
          <t>Evergy Metro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MO</t>
        </is>
      </c>
      <c r="H25" t="inlineStr">
        <is>
          <t>Investor Owned</t>
        </is>
      </c>
      <c r="I25" t="inlineStr">
        <is>
          <t>SWPP</t>
        </is>
      </c>
      <c r="J25" t="n">
        <v>359634.1</v>
      </c>
      <c r="K25" t="n">
        <v>2621084</v>
      </c>
      <c r="L25" t="n">
        <v>273860</v>
      </c>
      <c r="M25" t="n">
        <v>435026.1</v>
      </c>
      <c r="N25" t="n">
        <v>4193265</v>
      </c>
      <c r="O25" t="n">
        <v>33476</v>
      </c>
      <c r="P25" t="n">
        <v>108174.4</v>
      </c>
      <c r="Q25" t="n">
        <v>1467831</v>
      </c>
      <c r="R25" t="n">
        <v>881</v>
      </c>
      <c r="S25" t="n">
        <v>293.2</v>
      </c>
      <c r="T25" t="n">
        <v>2379</v>
      </c>
      <c r="U25" t="n">
        <v>1</v>
      </c>
      <c r="V25" t="n">
        <v>903127.8</v>
      </c>
      <c r="W25" t="n">
        <v>8284559</v>
      </c>
      <c r="X25" t="n">
        <v>308218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10370</v>
      </c>
      <c r="C26" t="inlineStr">
        <is>
          <t>City of Kirkwood - (MO)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MO</t>
        </is>
      </c>
      <c r="H26" t="inlineStr">
        <is>
          <t>Municipal</t>
        </is>
      </c>
      <c r="I26" t="inlineStr">
        <is>
          <t>MISO</t>
        </is>
      </c>
      <c r="J26" t="n">
        <v>13781</v>
      </c>
      <c r="K26" t="n">
        <v>96003</v>
      </c>
      <c r="L26" t="n">
        <v>9084</v>
      </c>
      <c r="M26" t="n">
        <v>11904</v>
      </c>
      <c r="N26" t="n">
        <v>84685</v>
      </c>
      <c r="O26" t="n">
        <v>1228</v>
      </c>
      <c r="P26" t="n">
        <v>956</v>
      </c>
      <c r="Q26" t="n">
        <v>5835</v>
      </c>
      <c r="R26" t="n">
        <v>1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26641</v>
      </c>
      <c r="W26" t="n">
        <v>186523</v>
      </c>
      <c r="X26" t="n">
        <v>10313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10603</v>
      </c>
      <c r="C27" t="inlineStr">
        <is>
          <t>Laclede Electric Coop, Inc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MO</t>
        </is>
      </c>
      <c r="H27" t="inlineStr">
        <is>
          <t>Cooperative</t>
        </is>
      </c>
      <c r="I27" t="inlineStr">
        <is>
          <t>AECI</t>
        </is>
      </c>
      <c r="J27" t="n">
        <v>59859</v>
      </c>
      <c r="K27" t="n">
        <v>510467</v>
      </c>
      <c r="L27" t="n">
        <v>35026</v>
      </c>
      <c r="M27" t="n">
        <v>13303</v>
      </c>
      <c r="N27" t="n">
        <v>114611</v>
      </c>
      <c r="O27" t="n">
        <v>3927</v>
      </c>
      <c r="P27" t="n">
        <v>2307</v>
      </c>
      <c r="Q27" t="n">
        <v>22638</v>
      </c>
      <c r="R27" t="n">
        <v>14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75469</v>
      </c>
      <c r="W27" t="n">
        <v>647716</v>
      </c>
      <c r="X27" t="n">
        <v>38967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10832</v>
      </c>
      <c r="C28" t="inlineStr">
        <is>
          <t>City of Lebanon - (MO)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MO</t>
        </is>
      </c>
      <c r="H28" t="inlineStr">
        <is>
          <t>Municipal</t>
        </is>
      </c>
      <c r="I28" t="inlineStr">
        <is>
          <t>AECI</t>
        </is>
      </c>
      <c r="J28" t="n">
        <v>7991</v>
      </c>
      <c r="K28" t="n">
        <v>79919</v>
      </c>
      <c r="L28" t="n">
        <v>6066</v>
      </c>
      <c r="M28" t="n">
        <v>8266</v>
      </c>
      <c r="N28" t="n">
        <v>85483</v>
      </c>
      <c r="O28" t="n">
        <v>1384</v>
      </c>
      <c r="P28" t="n">
        <v>7937</v>
      </c>
      <c r="Q28" t="n">
        <v>85081</v>
      </c>
      <c r="R28" t="n">
        <v>40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24194</v>
      </c>
      <c r="W28" t="n">
        <v>250483</v>
      </c>
      <c r="X28" t="n">
        <v>7490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11463</v>
      </c>
      <c r="C29" t="inlineStr">
        <is>
          <t>Macon Electric Coop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MO</t>
        </is>
      </c>
      <c r="H29" t="inlineStr">
        <is>
          <t>Cooperative</t>
        </is>
      </c>
      <c r="I29" t="inlineStr">
        <is>
          <t>AECI</t>
        </is>
      </c>
      <c r="J29" t="n">
        <v>18137.6</v>
      </c>
      <c r="K29" t="n">
        <v>122370</v>
      </c>
      <c r="L29" t="n">
        <v>10023</v>
      </c>
      <c r="M29" t="n">
        <v>5353.2</v>
      </c>
      <c r="N29" t="n">
        <v>40733</v>
      </c>
      <c r="O29" t="n">
        <v>1626</v>
      </c>
      <c r="P29" t="n">
        <v>6047.8</v>
      </c>
      <c r="Q29" t="n">
        <v>84431</v>
      </c>
      <c r="R29" t="n">
        <v>2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29538.6</v>
      </c>
      <c r="W29" t="n">
        <v>247534</v>
      </c>
      <c r="X29" t="n">
        <v>11651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12698</v>
      </c>
      <c r="C30" t="inlineStr">
        <is>
          <t>Evergy Missouri West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MO</t>
        </is>
      </c>
      <c r="H30" t="inlineStr">
        <is>
          <t>Investor Owned</t>
        </is>
      </c>
      <c r="I30" t="inlineStr">
        <is>
          <t>SWPP</t>
        </is>
      </c>
      <c r="J30" t="n">
        <v>449877.9</v>
      </c>
      <c r="K30" t="n">
        <v>3584586</v>
      </c>
      <c r="L30" t="n">
        <v>305583</v>
      </c>
      <c r="M30" t="n">
        <v>338432.4</v>
      </c>
      <c r="N30" t="n">
        <v>3535452</v>
      </c>
      <c r="O30" t="n">
        <v>40976</v>
      </c>
      <c r="P30" t="n">
        <v>95662.89999999999</v>
      </c>
      <c r="Q30" t="n">
        <v>1390662</v>
      </c>
      <c r="R30" t="n">
        <v>225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883973.2</v>
      </c>
      <c r="W30" t="n">
        <v>8510700</v>
      </c>
      <c r="X30" t="n">
        <v>346784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12700</v>
      </c>
      <c r="C31" t="inlineStr">
        <is>
          <t>Missouri Rural Electric Coop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MO</t>
        </is>
      </c>
      <c r="H31" t="inlineStr">
        <is>
          <t>Cooperative</t>
        </is>
      </c>
      <c r="I31" t="inlineStr">
        <is>
          <t>AECI</t>
        </is>
      </c>
      <c r="J31" t="n">
        <v>8961</v>
      </c>
      <c r="K31" t="n">
        <v>65800</v>
      </c>
      <c r="L31" t="n">
        <v>5049</v>
      </c>
      <c r="M31" t="n">
        <v>2974</v>
      </c>
      <c r="N31" t="n">
        <v>24911</v>
      </c>
      <c r="O31" t="n">
        <v>572</v>
      </c>
      <c r="P31" t="n">
        <v>8584</v>
      </c>
      <c r="Q31" t="n">
        <v>127614</v>
      </c>
      <c r="R31" t="n">
        <v>11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20519</v>
      </c>
      <c r="W31" t="n">
        <v>218325</v>
      </c>
      <c r="X31" t="n">
        <v>5632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12782</v>
      </c>
      <c r="C32" t="inlineStr">
        <is>
          <t>City of Monett - (MO)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MO</t>
        </is>
      </c>
      <c r="H32" t="inlineStr">
        <is>
          <t>Municipal</t>
        </is>
      </c>
      <c r="I32" t="inlineStr">
        <is>
          <t>SWPP</t>
        </is>
      </c>
      <c r="J32" t="n">
        <v>6348.1</v>
      </c>
      <c r="K32" t="n">
        <v>46509</v>
      </c>
      <c r="L32" t="n">
        <v>4118</v>
      </c>
      <c r="M32" t="n">
        <v>6663.5</v>
      </c>
      <c r="N32" t="n">
        <v>55061</v>
      </c>
      <c r="O32" t="n">
        <v>732</v>
      </c>
      <c r="P32" t="n">
        <v>12858.4</v>
      </c>
      <c r="Q32" t="n">
        <v>118112</v>
      </c>
      <c r="R32" t="n">
        <v>37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25870</v>
      </c>
      <c r="W32" t="n">
        <v>219682</v>
      </c>
      <c r="X32" t="n">
        <v>4887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13520</v>
      </c>
      <c r="C33" t="inlineStr">
        <is>
          <t>New-Mac Electric Coop, Inc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MO</t>
        </is>
      </c>
      <c r="H33" t="inlineStr">
        <is>
          <t>Cooperative</t>
        </is>
      </c>
      <c r="I33" t="inlineStr">
        <is>
          <t>AECI</t>
        </is>
      </c>
      <c r="J33" t="n">
        <v>38474</v>
      </c>
      <c r="K33" t="n">
        <v>304731</v>
      </c>
      <c r="L33" t="n">
        <v>19445</v>
      </c>
      <c r="M33" t="n">
        <v>6055</v>
      </c>
      <c r="N33" t="n">
        <v>51801</v>
      </c>
      <c r="O33" t="n">
        <v>171</v>
      </c>
      <c r="P33" t="n">
        <v>3475</v>
      </c>
      <c r="Q33" t="n">
        <v>49514</v>
      </c>
      <c r="R33" t="n">
        <v>4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48004</v>
      </c>
      <c r="W33" t="n">
        <v>406046</v>
      </c>
      <c r="X33" t="n">
        <v>19620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14192</v>
      </c>
      <c r="C34" t="inlineStr">
        <is>
          <t>Osage Valley Elec Coop Assn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MO</t>
        </is>
      </c>
      <c r="H34" t="inlineStr">
        <is>
          <t>Cooperative</t>
        </is>
      </c>
      <c r="I34" t="inlineStr">
        <is>
          <t>AECI</t>
        </is>
      </c>
      <c r="J34" t="n">
        <v>35338</v>
      </c>
      <c r="K34" t="n">
        <v>252446</v>
      </c>
      <c r="L34" t="n">
        <v>16945</v>
      </c>
      <c r="M34" t="n">
        <v>4532</v>
      </c>
      <c r="N34" t="n">
        <v>36178</v>
      </c>
      <c r="O34" t="n">
        <v>1084</v>
      </c>
      <c r="P34" t="inlineStr">
        <is>
          <t>.</t>
        </is>
      </c>
      <c r="Q34" t="inlineStr">
        <is>
          <t>.</t>
        </is>
      </c>
      <c r="R34" t="inlineStr">
        <is>
          <t>.</t>
        </is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39870</v>
      </c>
      <c r="W34" t="n">
        <v>288624</v>
      </c>
      <c r="X34" t="n">
        <v>18029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14285</v>
      </c>
      <c r="C35" t="inlineStr">
        <is>
          <t>Ozark Border Electric Coop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MO</t>
        </is>
      </c>
      <c r="H35" t="inlineStr">
        <is>
          <t>Cooperative</t>
        </is>
      </c>
      <c r="I35" t="inlineStr">
        <is>
          <t>AECI</t>
        </is>
      </c>
      <c r="J35" t="n">
        <v>59792</v>
      </c>
      <c r="K35" t="n">
        <v>512979</v>
      </c>
      <c r="L35" t="n">
        <v>33229</v>
      </c>
      <c r="M35" t="n">
        <v>17154</v>
      </c>
      <c r="N35" t="n">
        <v>158380</v>
      </c>
      <c r="O35" t="n">
        <v>7746</v>
      </c>
      <c r="P35" t="n">
        <v>2240</v>
      </c>
      <c r="Q35" t="n">
        <v>25177</v>
      </c>
      <c r="R35" t="n">
        <v>13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79186</v>
      </c>
      <c r="W35" t="n">
        <v>696536</v>
      </c>
      <c r="X35" t="n">
        <v>40988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14288</v>
      </c>
      <c r="C36" t="inlineStr">
        <is>
          <t>Ozark Electric Coop Inc - (MO)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MO</t>
        </is>
      </c>
      <c r="H36" t="inlineStr">
        <is>
          <t>Cooperative</t>
        </is>
      </c>
      <c r="I36" t="inlineStr">
        <is>
          <t>AECI</t>
        </is>
      </c>
      <c r="J36" t="n">
        <v>60423.5</v>
      </c>
      <c r="K36" t="n">
        <v>429321</v>
      </c>
      <c r="L36" t="n">
        <v>31534</v>
      </c>
      <c r="M36" t="n">
        <v>12326</v>
      </c>
      <c r="N36" t="n">
        <v>102930</v>
      </c>
      <c r="O36" t="n">
        <v>3756</v>
      </c>
      <c r="P36" t="n">
        <v>948.1</v>
      </c>
      <c r="Q36" t="n">
        <v>11147</v>
      </c>
      <c r="R36" t="n">
        <v>1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73697.60000000001</v>
      </c>
      <c r="W36" t="n">
        <v>543398</v>
      </c>
      <c r="X36" t="n">
        <v>35291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15138</v>
      </c>
      <c r="C37" t="inlineStr">
        <is>
          <t>Platte-Clay Electric Coop, Inc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MO</t>
        </is>
      </c>
      <c r="H37" t="inlineStr">
        <is>
          <t>Cooperative</t>
        </is>
      </c>
      <c r="I37" t="inlineStr">
        <is>
          <t>AECI</t>
        </is>
      </c>
      <c r="J37" t="n">
        <v>44605</v>
      </c>
      <c r="K37" t="n">
        <v>357865</v>
      </c>
      <c r="L37" t="n">
        <v>23584</v>
      </c>
      <c r="M37" t="n">
        <v>10896.5</v>
      </c>
      <c r="N37" t="n">
        <v>122840</v>
      </c>
      <c r="O37" t="n">
        <v>3405</v>
      </c>
      <c r="P37" t="n">
        <v>6016.5</v>
      </c>
      <c r="Q37" t="n">
        <v>44888</v>
      </c>
      <c r="R37" t="n">
        <v>11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61518</v>
      </c>
      <c r="W37" t="n">
        <v>525593</v>
      </c>
      <c r="X37" t="n">
        <v>27000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15229</v>
      </c>
      <c r="C38" t="inlineStr">
        <is>
          <t>City of Poplar Bluff - (MO)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MO</t>
        </is>
      </c>
      <c r="H38" t="inlineStr">
        <is>
          <t>Municipal</t>
        </is>
      </c>
      <c r="I38" t="inlineStr">
        <is>
          <t>SWPP</t>
        </is>
      </c>
      <c r="J38" t="n">
        <v>12815</v>
      </c>
      <c r="K38" t="n">
        <v>114590</v>
      </c>
      <c r="L38" t="n">
        <v>7715</v>
      </c>
      <c r="M38" t="n">
        <v>17324.6</v>
      </c>
      <c r="N38" t="n">
        <v>156280</v>
      </c>
      <c r="O38" t="n">
        <v>1882</v>
      </c>
      <c r="P38" t="n">
        <v>3971</v>
      </c>
      <c r="Q38" t="n">
        <v>56466</v>
      </c>
      <c r="R38" t="n">
        <v>14</v>
      </c>
      <c r="S38" t="n">
        <v>0</v>
      </c>
      <c r="T38" t="n">
        <v>0</v>
      </c>
      <c r="U38" t="n">
        <v>0</v>
      </c>
      <c r="V38" t="n">
        <v>34110.6</v>
      </c>
      <c r="W38" t="n">
        <v>327336</v>
      </c>
      <c r="X38" t="n">
        <v>9611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16259</v>
      </c>
      <c r="C39" t="inlineStr">
        <is>
          <t>City of Rolla - (MO)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MO</t>
        </is>
      </c>
      <c r="H39" t="inlineStr">
        <is>
          <t>Municipal</t>
        </is>
      </c>
      <c r="I39" t="inlineStr">
        <is>
          <t>MISO</t>
        </is>
      </c>
      <c r="J39" t="n">
        <v>10603</v>
      </c>
      <c r="K39" t="n">
        <v>99848</v>
      </c>
      <c r="L39" t="n">
        <v>8132</v>
      </c>
      <c r="M39" t="n">
        <v>5112</v>
      </c>
      <c r="N39" t="n">
        <v>55003</v>
      </c>
      <c r="O39" t="n">
        <v>1393</v>
      </c>
      <c r="P39" t="n">
        <v>11779</v>
      </c>
      <c r="Q39" t="n">
        <v>145779</v>
      </c>
      <c r="R39" t="n">
        <v>108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27494</v>
      </c>
      <c r="W39" t="n">
        <v>300630</v>
      </c>
      <c r="X39" t="n">
        <v>9633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16751</v>
      </c>
      <c r="C40" t="inlineStr">
        <is>
          <t>Three Rivers Electric Coop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MO</t>
        </is>
      </c>
      <c r="H40" t="inlineStr">
        <is>
          <t>Cooperative</t>
        </is>
      </c>
      <c r="I40" t="inlineStr">
        <is>
          <t>AECI</t>
        </is>
      </c>
      <c r="J40" t="n">
        <v>37775.1</v>
      </c>
      <c r="K40" t="n">
        <v>302838</v>
      </c>
      <c r="L40" t="n">
        <v>22561</v>
      </c>
      <c r="M40" t="n">
        <v>7657.1</v>
      </c>
      <c r="N40" t="n">
        <v>72380</v>
      </c>
      <c r="O40" t="n">
        <v>1947</v>
      </c>
      <c r="P40" t="n">
        <v>2560.5</v>
      </c>
      <c r="Q40" t="n">
        <v>26377</v>
      </c>
      <c r="R40" t="n">
        <v>13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47992.7</v>
      </c>
      <c r="W40" t="n">
        <v>401595</v>
      </c>
      <c r="X40" t="n">
        <v>24521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16805</v>
      </c>
      <c r="C41" t="inlineStr">
        <is>
          <t>SEMO Electric Cooperative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MO</t>
        </is>
      </c>
      <c r="H41" t="inlineStr">
        <is>
          <t>Cooperative</t>
        </is>
      </c>
      <c r="I41" t="inlineStr">
        <is>
          <t>AECI</t>
        </is>
      </c>
      <c r="J41" t="n">
        <v>22140.4</v>
      </c>
      <c r="K41" t="n">
        <v>173149</v>
      </c>
      <c r="L41" t="n">
        <v>10783</v>
      </c>
      <c r="M41" t="n">
        <v>15002.6</v>
      </c>
      <c r="N41" t="n">
        <v>87105</v>
      </c>
      <c r="O41" t="n">
        <v>5473</v>
      </c>
      <c r="P41" t="n">
        <v>6726.9</v>
      </c>
      <c r="Q41" t="n">
        <v>91488</v>
      </c>
      <c r="R41" t="n">
        <v>10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43869.9</v>
      </c>
      <c r="W41" t="n">
        <v>351742</v>
      </c>
      <c r="X41" t="n">
        <v>16266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17177</v>
      </c>
      <c r="C42" t="inlineStr">
        <is>
          <t>City of Sikeston - (MO)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MO</t>
        </is>
      </c>
      <c r="H42" t="inlineStr">
        <is>
          <t>Municipal</t>
        </is>
      </c>
      <c r="I42" t="inlineStr">
        <is>
          <t>SPA</t>
        </is>
      </c>
      <c r="J42" t="n">
        <v>11219.3</v>
      </c>
      <c r="K42" t="n">
        <v>113575</v>
      </c>
      <c r="L42" t="n">
        <v>7058</v>
      </c>
      <c r="M42" t="n">
        <v>12175.3</v>
      </c>
      <c r="N42" t="n">
        <v>122501</v>
      </c>
      <c r="O42" t="n">
        <v>1669</v>
      </c>
      <c r="P42" t="n">
        <v>7237</v>
      </c>
      <c r="Q42" t="n">
        <v>114137</v>
      </c>
      <c r="R42" t="n">
        <v>22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30631.6</v>
      </c>
      <c r="W42" t="n">
        <v>350213</v>
      </c>
      <c r="X42" t="n">
        <v>8749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17833</v>
      </c>
      <c r="C43" t="inlineStr">
        <is>
          <t>City Utilities of Springfield - (MO)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MO</t>
        </is>
      </c>
      <c r="H43" t="inlineStr">
        <is>
          <t>Municipal</t>
        </is>
      </c>
      <c r="I43" t="inlineStr">
        <is>
          <t>SWPP</t>
        </is>
      </c>
      <c r="J43" t="n">
        <v>120995.5</v>
      </c>
      <c r="K43" t="n">
        <v>1055318</v>
      </c>
      <c r="L43" t="n">
        <v>105029</v>
      </c>
      <c r="M43" t="n">
        <v>147741.7</v>
      </c>
      <c r="N43" t="n">
        <v>1573861</v>
      </c>
      <c r="O43" t="n">
        <v>16341</v>
      </c>
      <c r="P43" t="n">
        <v>35592.8</v>
      </c>
      <c r="Q43" t="n">
        <v>447202</v>
      </c>
      <c r="R43" t="n">
        <v>233</v>
      </c>
      <c r="S43" t="n">
        <v>0</v>
      </c>
      <c r="T43" t="n">
        <v>0</v>
      </c>
      <c r="U43" t="n">
        <v>0</v>
      </c>
      <c r="V43" t="n">
        <v>304330</v>
      </c>
      <c r="W43" t="n">
        <v>3076381</v>
      </c>
      <c r="X43" t="n">
        <v>121603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19436</v>
      </c>
      <c r="C44" t="inlineStr">
        <is>
          <t>Union Electric Co - (MO)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MO</t>
        </is>
      </c>
      <c r="H44" t="inlineStr">
        <is>
          <t>Investor Owned</t>
        </is>
      </c>
      <c r="I44" t="inlineStr">
        <is>
          <t>MISO</t>
        </is>
      </c>
      <c r="J44" t="n">
        <v>1633293.9</v>
      </c>
      <c r="K44" t="n">
        <v>13001145</v>
      </c>
      <c r="L44" t="n">
        <v>1095619</v>
      </c>
      <c r="M44" t="n">
        <v>1327351</v>
      </c>
      <c r="N44" t="n">
        <v>13645800</v>
      </c>
      <c r="O44" t="n">
        <v>165295</v>
      </c>
      <c r="P44" t="n">
        <v>311205.8</v>
      </c>
      <c r="Q44" t="n">
        <v>4094258</v>
      </c>
      <c r="R44" t="n">
        <v>3554</v>
      </c>
      <c r="S44" t="n">
        <v>2234.7</v>
      </c>
      <c r="T44" t="n">
        <v>23045</v>
      </c>
      <c r="U44" t="n">
        <v>1</v>
      </c>
      <c r="V44" t="n">
        <v>3274085.4</v>
      </c>
      <c r="W44" t="n">
        <v>30764248</v>
      </c>
      <c r="X44" t="n">
        <v>1264469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20318</v>
      </c>
      <c r="C45" t="inlineStr">
        <is>
          <t>Webster Electric Coop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MO</t>
        </is>
      </c>
      <c r="H45" t="inlineStr">
        <is>
          <t>Cooperative</t>
        </is>
      </c>
      <c r="I45" t="inlineStr">
        <is>
          <t>AECI</t>
        </is>
      </c>
      <c r="J45" t="n">
        <v>31031.9</v>
      </c>
      <c r="K45" t="n">
        <v>304392</v>
      </c>
      <c r="L45" t="n">
        <v>18820</v>
      </c>
      <c r="M45" t="n">
        <v>8965</v>
      </c>
      <c r="N45" t="n">
        <v>105660</v>
      </c>
      <c r="O45" t="n">
        <v>865</v>
      </c>
      <c r="P45" t="inlineStr">
        <is>
          <t>.</t>
        </is>
      </c>
      <c r="Q45" t="inlineStr">
        <is>
          <t>.</t>
        </is>
      </c>
      <c r="R45" t="inlineStr">
        <is>
          <t>.</t>
        </is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39996.9</v>
      </c>
      <c r="W45" t="n">
        <v>410052</v>
      </c>
      <c r="X45" t="n">
        <v>19685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20363</v>
      </c>
      <c r="C46" t="inlineStr">
        <is>
          <t>West Central Electric Coop Inc - (MO)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MO</t>
        </is>
      </c>
      <c r="H46" t="inlineStr">
        <is>
          <t>Cooperative</t>
        </is>
      </c>
      <c r="I46" t="inlineStr">
        <is>
          <t>AECI</t>
        </is>
      </c>
      <c r="J46" t="n">
        <v>31922.3</v>
      </c>
      <c r="K46" t="n">
        <v>259946</v>
      </c>
      <c r="L46" t="n">
        <v>15280</v>
      </c>
      <c r="M46" t="n">
        <v>5079.2</v>
      </c>
      <c r="N46" t="n">
        <v>72448</v>
      </c>
      <c r="O46" t="n">
        <v>166</v>
      </c>
      <c r="P46" t="inlineStr">
        <is>
          <t>.</t>
        </is>
      </c>
      <c r="Q46" t="inlineStr">
        <is>
          <t>.</t>
        </is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37001.5</v>
      </c>
      <c r="W46" t="n">
        <v>332394</v>
      </c>
      <c r="X46" t="n">
        <v>15446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20574</v>
      </c>
      <c r="C47" t="inlineStr">
        <is>
          <t>White River Valley El Coop Inc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MO</t>
        </is>
      </c>
      <c r="H47" t="inlineStr">
        <is>
          <t>Cooperative</t>
        </is>
      </c>
      <c r="I47" t="inlineStr">
        <is>
          <t>AECI</t>
        </is>
      </c>
      <c r="J47" t="n">
        <v>69622</v>
      </c>
      <c r="K47" t="n">
        <v>486769</v>
      </c>
      <c r="L47" t="n">
        <v>39216</v>
      </c>
      <c r="M47" t="n">
        <v>30996</v>
      </c>
      <c r="N47" t="n">
        <v>246665</v>
      </c>
      <c r="O47" t="n">
        <v>8863</v>
      </c>
      <c r="P47" t="n">
        <v>5391</v>
      </c>
      <c r="Q47" t="n">
        <v>56878</v>
      </c>
      <c r="R47" t="n">
        <v>10</v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106009</v>
      </c>
      <c r="W47" t="n">
        <v>790312</v>
      </c>
      <c r="X47" t="n">
        <v>48089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27238</v>
      </c>
      <c r="C48" t="inlineStr">
        <is>
          <t>Southwest Electric Coop, Inc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MO</t>
        </is>
      </c>
      <c r="H48" t="inlineStr">
        <is>
          <t>Cooperative</t>
        </is>
      </c>
      <c r="I48" t="inlineStr">
        <is>
          <t>AECI</t>
        </is>
      </c>
      <c r="J48" t="n">
        <v>61699</v>
      </c>
      <c r="K48" t="n">
        <v>514552</v>
      </c>
      <c r="L48" t="n">
        <v>41386</v>
      </c>
      <c r="M48" t="n">
        <v>10676</v>
      </c>
      <c r="N48" t="n">
        <v>97451</v>
      </c>
      <c r="O48" t="n">
        <v>3308</v>
      </c>
      <c r="P48" t="inlineStr">
        <is>
          <t>.</t>
        </is>
      </c>
      <c r="Q48" t="inlineStr">
        <is>
          <t>.</t>
        </is>
      </c>
      <c r="R48" t="inlineStr">
        <is>
          <t>.</t>
        </is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n">
        <v>72375</v>
      </c>
      <c r="W48" t="n">
        <v>612003</v>
      </c>
      <c r="X48" t="n">
        <v>44694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59579</v>
      </c>
      <c r="C49" t="inlineStr">
        <is>
          <t>Sunnova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MO</t>
        </is>
      </c>
      <c r="H49" t="inlineStr">
        <is>
          <t>Behind the Meter</t>
        </is>
      </c>
      <c r="I49" t="inlineStr">
        <is>
          <t>AECI</t>
        </is>
      </c>
      <c r="J49" t="n">
        <v>0</v>
      </c>
      <c r="K49" t="n">
        <v>0</v>
      </c>
      <c r="L49" t="n">
        <v>0</v>
      </c>
      <c r="M49" t="inlineStr">
        <is>
          <t>.</t>
        </is>
      </c>
      <c r="N49" t="inlineStr">
        <is>
          <t>.</t>
        </is>
      </c>
      <c r="O49" t="inlineStr">
        <is>
          <t>.</t>
        </is>
      </c>
      <c r="P49" t="inlineStr">
        <is>
          <t>.</t>
        </is>
      </c>
      <c r="Q49" t="inlineStr">
        <is>
          <t>.</t>
        </is>
      </c>
      <c r="R49" t="inlineStr">
        <is>
          <t>.</t>
        </is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0</v>
      </c>
      <c r="W49" t="n">
        <v>0</v>
      </c>
      <c r="X49" t="n">
        <v>0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59579</v>
      </c>
      <c r="C50" t="inlineStr">
        <is>
          <t>Sunnova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MO</t>
        </is>
      </c>
      <c r="H50" t="inlineStr">
        <is>
          <t>Behind the Meter</t>
        </is>
      </c>
      <c r="I50" t="inlineStr">
        <is>
          <t>SPA</t>
        </is>
      </c>
      <c r="J50" t="n">
        <v>0</v>
      </c>
      <c r="K50" t="n">
        <v>0</v>
      </c>
      <c r="L50" t="n">
        <v>0</v>
      </c>
      <c r="M50" t="inlineStr">
        <is>
          <t>.</t>
        </is>
      </c>
      <c r="N50" t="inlineStr">
        <is>
          <t>.</t>
        </is>
      </c>
      <c r="O50" t="inlineStr">
        <is>
          <t>.</t>
        </is>
      </c>
      <c r="P50" t="inlineStr">
        <is>
          <t>.</t>
        </is>
      </c>
      <c r="Q50" t="inlineStr">
        <is>
          <t>.</t>
        </is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0</v>
      </c>
      <c r="W50" t="n">
        <v>0</v>
      </c>
      <c r="X50" t="n">
        <v>0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59579</v>
      </c>
      <c r="C51" t="inlineStr">
        <is>
          <t>Sunnova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MO</t>
        </is>
      </c>
      <c r="H51" t="inlineStr">
        <is>
          <t>Behind the Meter</t>
        </is>
      </c>
      <c r="I51" t="inlineStr">
        <is>
          <t>MISO</t>
        </is>
      </c>
      <c r="J51" t="n">
        <v>0</v>
      </c>
      <c r="K51" t="n">
        <v>0</v>
      </c>
      <c r="L51" t="n">
        <v>0</v>
      </c>
      <c r="M51" t="inlineStr">
        <is>
          <t>.</t>
        </is>
      </c>
      <c r="N51" t="inlineStr">
        <is>
          <t>.</t>
        </is>
      </c>
      <c r="O51" t="inlineStr">
        <is>
          <t>.</t>
        </is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0</v>
      </c>
      <c r="W51" t="n">
        <v>0</v>
      </c>
      <c r="X51" t="n">
        <v>0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59579</v>
      </c>
      <c r="C52" t="inlineStr">
        <is>
          <t>Sunnova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MO</t>
        </is>
      </c>
      <c r="H52" t="inlineStr">
        <is>
          <t>Behind the Meter</t>
        </is>
      </c>
      <c r="I52" t="inlineStr">
        <is>
          <t>SWPP</t>
        </is>
      </c>
      <c r="J52" t="n">
        <v>1.1</v>
      </c>
      <c r="K52" t="n">
        <v>8</v>
      </c>
      <c r="L52" t="n">
        <v>1</v>
      </c>
      <c r="M52" t="inlineStr">
        <is>
          <t>.</t>
        </is>
      </c>
      <c r="N52" t="inlineStr">
        <is>
          <t>.</t>
        </is>
      </c>
      <c r="O52" t="inlineStr">
        <is>
          <t>.</t>
        </is>
      </c>
      <c r="P52" t="inlineStr">
        <is>
          <t>.</t>
        </is>
      </c>
      <c r="Q52" t="inlineStr">
        <is>
          <t>.</t>
        </is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1.1</v>
      </c>
      <c r="W52" t="n">
        <v>8</v>
      </c>
      <c r="X52" t="n">
        <v>1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99999</v>
      </c>
      <c r="C53" t="inlineStr">
        <is>
          <t>Adjustment 2024</t>
        </is>
      </c>
      <c r="D53" t="inlineStr">
        <is>
          <t>A</t>
        </is>
      </c>
      <c r="E53" t="inlineStr">
        <is>
          <t>Bundled</t>
        </is>
      </c>
      <c r="F53" t="inlineStr">
        <is>
          <t>I</t>
        </is>
      </c>
      <c r="G53" t="inlineStr">
        <is>
          <t>MO</t>
        </is>
      </c>
      <c r="H53" t="inlineStr"/>
      <c r="I53" t="inlineStr">
        <is>
          <t>AECI</t>
        </is>
      </c>
      <c r="J53" t="n">
        <v>225828.9</v>
      </c>
      <c r="K53" t="n">
        <v>1543933</v>
      </c>
      <c r="L53" t="n">
        <v>122153</v>
      </c>
      <c r="M53" t="n">
        <v>88705.89999999999</v>
      </c>
      <c r="N53" t="n">
        <v>762883</v>
      </c>
      <c r="O53" t="n">
        <v>18269</v>
      </c>
      <c r="P53" t="n">
        <v>49295.3</v>
      </c>
      <c r="Q53" t="n">
        <v>509815</v>
      </c>
      <c r="R53" t="n">
        <v>2114</v>
      </c>
      <c r="S53" t="n">
        <v>0</v>
      </c>
      <c r="T53" t="n">
        <v>0</v>
      </c>
      <c r="U53" t="n">
        <v>0</v>
      </c>
      <c r="V53" t="n">
        <v>363830.1</v>
      </c>
      <c r="W53" t="n">
        <v>2816631</v>
      </c>
      <c r="X53" t="n">
        <v>142536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99999</v>
      </c>
      <c r="C54" t="inlineStr">
        <is>
          <t>Adjustment 2024</t>
        </is>
      </c>
      <c r="D54" t="inlineStr">
        <is>
          <t>A</t>
        </is>
      </c>
      <c r="E54" t="inlineStr">
        <is>
          <t>Bundled</t>
        </is>
      </c>
      <c r="F54" t="inlineStr">
        <is>
          <t>I</t>
        </is>
      </c>
      <c r="G54" t="inlineStr">
        <is>
          <t>MO</t>
        </is>
      </c>
      <c r="H54" t="inlineStr"/>
      <c r="I54" t="inlineStr">
        <is>
          <t>SPA</t>
        </is>
      </c>
      <c r="J54" t="n">
        <v>1537.3</v>
      </c>
      <c r="K54" t="n">
        <v>15356</v>
      </c>
      <c r="L54" t="n">
        <v>1514</v>
      </c>
      <c r="M54" t="n">
        <v>2156.4</v>
      </c>
      <c r="N54" t="n">
        <v>21929</v>
      </c>
      <c r="O54" t="n">
        <v>413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3693.7</v>
      </c>
      <c r="W54" t="n">
        <v>37285</v>
      </c>
      <c r="X54" t="n">
        <v>1927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99999</v>
      </c>
      <c r="C55" t="inlineStr">
        <is>
          <t>Adjustment 2024</t>
        </is>
      </c>
      <c r="D55" t="inlineStr">
        <is>
          <t>A</t>
        </is>
      </c>
      <c r="E55" t="inlineStr">
        <is>
          <t>Bundled</t>
        </is>
      </c>
      <c r="F55" t="inlineStr">
        <is>
          <t>I</t>
        </is>
      </c>
      <c r="G55" t="inlineStr">
        <is>
          <t>MO</t>
        </is>
      </c>
      <c r="H55" t="inlineStr"/>
      <c r="I55" t="inlineStr">
        <is>
          <t>MISO</t>
        </is>
      </c>
      <c r="J55" t="n">
        <v>25019.9</v>
      </c>
      <c r="K55" t="n">
        <v>206548</v>
      </c>
      <c r="L55" t="n">
        <v>17762</v>
      </c>
      <c r="M55" t="n">
        <v>12227.6</v>
      </c>
      <c r="N55" t="n">
        <v>111958</v>
      </c>
      <c r="O55" t="n">
        <v>2891</v>
      </c>
      <c r="P55" t="n">
        <v>6113.5</v>
      </c>
      <c r="Q55" t="n">
        <v>64979</v>
      </c>
      <c r="R55" t="n">
        <v>116</v>
      </c>
      <c r="S55" t="n">
        <v>0</v>
      </c>
      <c r="T55" t="n">
        <v>0</v>
      </c>
      <c r="U55" t="n">
        <v>0</v>
      </c>
      <c r="V55" t="n">
        <v>43361</v>
      </c>
      <c r="W55" t="n">
        <v>383485</v>
      </c>
      <c r="X55" t="n">
        <v>20769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99999</v>
      </c>
      <c r="C56" t="inlineStr">
        <is>
          <t>Adjustment 2024</t>
        </is>
      </c>
      <c r="D56" t="inlineStr">
        <is>
          <t>A</t>
        </is>
      </c>
      <c r="E56" t="inlineStr">
        <is>
          <t>Bundled</t>
        </is>
      </c>
      <c r="F56" t="inlineStr">
        <is>
          <t>I</t>
        </is>
      </c>
      <c r="G56" t="inlineStr">
        <is>
          <t>MO</t>
        </is>
      </c>
      <c r="H56" t="inlineStr"/>
      <c r="I56" t="inlineStr">
        <is>
          <t>SWPP</t>
        </is>
      </c>
      <c r="J56" t="n">
        <v>83696.10000000001</v>
      </c>
      <c r="K56" t="n">
        <v>690501</v>
      </c>
      <c r="L56" t="n">
        <v>60868</v>
      </c>
      <c r="M56" t="n">
        <v>53094.7</v>
      </c>
      <c r="N56" t="n">
        <v>512154</v>
      </c>
      <c r="O56" t="n">
        <v>11166</v>
      </c>
      <c r="P56" t="n">
        <v>29994.3</v>
      </c>
      <c r="Q56" t="n">
        <v>290417</v>
      </c>
      <c r="R56" t="n">
        <v>782</v>
      </c>
      <c r="S56" t="n">
        <v>0</v>
      </c>
      <c r="T56" t="n">
        <v>0</v>
      </c>
      <c r="U56" t="n">
        <v>0</v>
      </c>
      <c r="V56" t="n">
        <v>166785.1</v>
      </c>
      <c r="W56" t="n">
        <v>1493072</v>
      </c>
      <c r="X56" t="n">
        <v>72816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MO</t>
        </is>
      </c>
      <c r="B2">
        <f>SUMIFS('EIA-861 Sales 2024'!$Y$4:$Y$56,'EIA-861 Sales 2024'!$Z$4:$Z$56,"cost_service")</f>
        <v/>
      </c>
      <c r="C2">
        <f>SUMIFS('EIA-861 Sales 2024'!$Y$4:$Y$56,'EIA-861 Sales 2024'!$Z$4:$Z$56,"procurement")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
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trans\SYVbT\"/>
    </mc:Choice>
  </mc:AlternateContent>
  <xr:revisionPtr revIDLastSave="0" documentId="8_{3BC8D7DC-4361-458E-99E9-84BCB4DB7720}"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<sst xmlns="http://schemas.openxmlformats.org/spreadsheetml/2006/main" count="16048" uniqueCount="5006">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</sst>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187</v>
      </c>
      <c r="C1" s="163">
        <v>45310</v>
      </c>
    </row>
    <row r="2" spans="1:7">
      <c r="B2" t="str">
        <f>INDEX(F:F,MATCH(B1,E:E,0))</f>
        <v>MO</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32</v>
      </c>
      <c r="C2">
        <f>ROUND(INDEX('SSYVbT-freight-LDV'!$B$2:$H$51,MATCH(About!$B$2,'SSYVbT-freight-LDV'!$A$2:$A$51,0),MATCH(C$1,'SSYVbT-freight-LDV'!$B$1:$H$1,0)),0)</f>
        <v>322</v>
      </c>
      <c r="D2">
        <f>ROUND(INDEX('SSYVbT-freight-LDV'!$B$2:$H$51,MATCH(About!$B$2,'SSYVbT-freight-LDV'!$A$2:$A$51,0),MATCH(D$1,'SSYVbT-freight-LDV'!$B$1:$H$1,0)),0)</f>
        <v>263775</v>
      </c>
      <c r="E2">
        <f>ROUND(INDEX('SSYVbT-freight-LDV'!$B$2:$H$51,MATCH(About!$B$2,'SSYVbT-freight-LDV'!$A$2:$A$51,0),MATCH(E$1,'SSYVbT-freight-LDV'!$B$1:$H$1,0)),0)</f>
        <v>215296</v>
      </c>
      <c r="F2">
        <f>ROUND(INDEX('SSYVbT-freight-LDV'!$B$2:$H$51,MATCH(About!$B$2,'SSYVbT-freight-LDV'!$A$2:$A$51,0),MATCH(F$1,'SSYVbT-freight-LDV'!$B$1:$H$1,0)),0)</f>
        <v>61</v>
      </c>
      <c r="G2">
        <f>ROUND(INDEX('SSYVbT-freight-LDV'!$B$2:$H$51,MATCH(About!$B$2,'SSYVbT-freight-LDV'!$A$2:$A$51,0),MATCH(G$1,'SSYVbT-freight-LDV'!$B$1:$H$1,0)),0)</f>
        <v>117</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945</v>
      </c>
      <c r="D3">
        <f>ROUND(INDEX('SSYVbT-freight-HDV'!$B$2:$H$51,MATCH(About!$B$2,'SSYVbT-freight-HDV'!$A$2:$A$51,0),MATCH(D$1,'SSYVbT-freight-HDV'!$B$1:$H$1,0)),0)</f>
        <v>1013</v>
      </c>
      <c r="E3">
        <f>ROUND(INDEX('SSYVbT-freight-HDV'!$B$2:$H$51,MATCH(About!$B$2,'SSYVbT-freight-HDV'!$A$2:$A$51,0),MATCH(E$1,'SSYVbT-freight-HDV'!$B$1:$H$1,0)),0)</f>
        <v>104844</v>
      </c>
      <c r="F3">
        <f>ROUND(INDEX('SSYVbT-freight-HDV'!$B$2:$H$51,MATCH(About!$B$2,'SSYVbT-freight-HDV'!$A$2:$A$51,0),MATCH(F$1,'SSYVbT-freight-HDV'!$B$1:$H$1,0)),0)</f>
        <v>11</v>
      </c>
      <c r="G3">
        <f>ROUND(INDEX('SSYVbT-freight-HDV'!$B$2:$H$51,MATCH(About!$B$2,'SSYVbT-freight-HDV'!$A$2:$A$51,0),MATCH(G$1,'SSYVbT-freight-HDV'!$B$1:$H$1,0)),0)</f>
        <v>80</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492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149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16647</v>
      </c>
      <c r="C2">
        <f>ROUND(INDEX('SSYVbT-passenger-LDV'!$B$2:$H$51,MATCH(About!$B$2,'SSYVbT-passenger-LDV'!$A$2:$A$51,0),MATCH(C$1,'SSYVbT-passenger-LDV'!$B$1:$H$1,0)),0)</f>
        <v>1856</v>
      </c>
      <c r="D2">
        <f>ROUND(INDEX('SSYVbT-passenger-LDV'!$B$2:$H$51,MATCH(About!$B$2,'SSYVbT-passenger-LDV'!$A$2:$A$51,0),MATCH(D$1,'SSYVbT-passenger-LDV'!$B$1:$H$1,0)),0)</f>
        <v>4823486</v>
      </c>
      <c r="E2">
        <f>ROUND(INDEX('SSYVbT-passenger-LDV'!$B$2:$H$51,MATCH(About!$B$2,'SSYVbT-passenger-LDV'!$A$2:$A$51,0),MATCH(E$1,'SSYVbT-passenger-LDV'!$B$1:$H$1,0)),0)</f>
        <v>20546</v>
      </c>
      <c r="F2">
        <f>ROUND(INDEX('SSYVbT-passenger-LDV'!$B$2:$H$51,MATCH(About!$B$2,'SSYVbT-passenger-LDV'!$A$2:$A$51,0),MATCH(F$1,'SSYVbT-passenger-LDV'!$B$1:$H$1,0)),0)</f>
        <v>11535</v>
      </c>
      <c r="G2">
        <f>ROUND(INDEX('SSYVbT-passenger-LDV'!$B$2:$H$51,MATCH(About!$B$2,'SSYVbT-passenger-LDV'!$A$2:$A$51,0),MATCH(G$1,'SSYVbT-passenger-LDV'!$B$1:$H$1,0)),0)</f>
        <v>1553</v>
      </c>
      <c r="H2">
        <f>ROUND(INDEX('SSYVbT-passenger-LDV'!$B$2:$H$51,MATCH(About!$B$2,'SSYVbT-passenger-LDV'!$A$2:$A$51,0),MATCH(H$1,'SSYVbT-passenger-LDV'!$B$1:$H$1,0)),0)</f>
        <v>145</v>
      </c>
    </row>
    <row r="3" spans="1:8">
      <c r="A3" t="s">
        <v>5</v>
      </c>
      <c r="B3">
        <f>ROUND(INDEX('SSYVbT-passenger-HDV'!$B$2:$H$51,MATCH(About!$B$2,'SSYVbT-passenger-HDV'!$A$2:$A$51,0),MATCH(B$1,'SSYVbT-passenger-HDV'!$B$1:$H$1,0)),0)</f>
        <v>10</v>
      </c>
      <c r="C3">
        <f>ROUND(INDEX('SSYVbT-passenger-HDV'!$B$2:$H$51,MATCH(About!$B$2,'SSYVbT-passenger-HDV'!$A$2:$A$51,0),MATCH(C$1,'SSYVbT-passenger-HDV'!$B$1:$H$1,0)),0)</f>
        <v>4764</v>
      </c>
      <c r="D3">
        <f>ROUND(INDEX('SSYVbT-passenger-HDV'!$B$2:$H$51,MATCH(About!$B$2,'SSYVbT-passenger-HDV'!$A$2:$A$51,0),MATCH(D$1,'SSYVbT-passenger-HDV'!$B$1:$H$1,0)),0)</f>
        <v>3354</v>
      </c>
      <c r="E3">
        <f>ROUND(INDEX('SSYVbT-passenger-HDV'!$B$2:$H$51,MATCH(About!$B$2,'SSYVbT-passenger-HDV'!$A$2:$A$51,0),MATCH(E$1,'SSYVbT-passenger-HDV'!$B$1:$H$1,0)),0)</f>
        <v>25390</v>
      </c>
      <c r="F3">
        <f>ROUND(INDEX('SSYVbT-passenger-HDV'!$B$2:$H$51,MATCH(About!$B$2,'SSYVbT-passenger-HDV'!$A$2:$A$51,0),MATCH(F$1,'SSYVbT-passenger-HDV'!$B$1:$H$1,0)),0)</f>
        <v>0</v>
      </c>
      <c r="G3">
        <f>ROUND(INDEX('SSYVbT-passenger-HDV'!$B$2:$H$51,MATCH(About!$B$2,'SSYVbT-passenger-HDV'!$A$2:$A$51,0),MATCH(G$1,'SSYVbT-passenger-HDV'!$B$1:$H$1,0)),0)</f>
        <v>242</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85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25</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274289</v>
      </c>
      <c r="E6">
        <f>ROUND(INDEX('SSYVbT-passenger-ships'!$B$2:$H$51,MATCH(About!$B$2,'SSYVbT-passenger-ships'!$A$2:$A$51,0),MATCH(E$1,'SSYVbT-passenger-ships'!$B$1:$H$1,0)),0)</f>
        <v>64683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174054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2024-01-19T18:17:13Z</dcterms:modified>
</cp:coreProperties>
</file>
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B24AF8FC-86A6-4082-8281-16364D29D921}"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M23" i="9"/>
  <c r="L23" i="9"/>
  <c r="K23" i="9"/>
  <c r="J23" i="9"/>
  <c r="I23" i="9"/>
  <c r="H23" i="9"/>
  <c r="G23" i="9"/>
  <c r="F23" i="9"/>
  <c r="E23" i="9"/>
  <c r="D23" i="9"/>
  <c r="C23" i="9"/>
  <c r="B23" i="9"/>
  <c r="AB22" i="9"/>
  <c r="AA22" i="9"/>
  <c r="Z22" i="9"/>
  <c r="Y22" i="9"/>
  <c r="X22" i="9"/>
  <c r="W22" i="9"/>
  <c r="V22" i="9"/>
  <c r="U22" i="9"/>
  <c r="U42" i="9" s="1"/>
  <c r="T22" i="9"/>
  <c r="T42" i="9" s="1"/>
  <c r="S22" i="9"/>
  <c r="R22" i="9"/>
  <c r="Q22" i="9"/>
  <c r="P22" i="9"/>
  <c r="O22" i="9"/>
  <c r="N22" i="9"/>
  <c r="M22" i="9"/>
  <c r="L22" i="9"/>
  <c r="K22" i="9"/>
  <c r="J22" i="9"/>
  <c r="I22" i="9"/>
  <c r="H22" i="9"/>
  <c r="G22" i="9"/>
  <c r="F22" i="9"/>
  <c r="E22" i="9"/>
  <c r="D22" i="9"/>
  <c r="C22" i="9"/>
  <c r="B22" i="9"/>
  <c r="AB21" i="9"/>
  <c r="AA21" i="9"/>
  <c r="Z21" i="9"/>
  <c r="Z41" i="9" s="1"/>
  <c r="Y21" i="9"/>
  <c r="Y41" i="9" s="1"/>
  <c r="X21" i="9"/>
  <c r="W21" i="9"/>
  <c r="V21" i="9"/>
  <c r="U21" i="9"/>
  <c r="T21" i="9"/>
  <c r="S21" i="9"/>
  <c r="R21" i="9"/>
  <c r="Q21" i="9"/>
  <c r="P21" i="9"/>
  <c r="O21" i="9"/>
  <c r="N21" i="9"/>
  <c r="M21" i="9"/>
  <c r="L21" i="9"/>
  <c r="K21" i="9"/>
  <c r="J21" i="9"/>
  <c r="I21" i="9"/>
  <c r="H21" i="9"/>
  <c r="G21" i="9"/>
  <c r="F21" i="9"/>
  <c r="E21" i="9"/>
  <c r="D21" i="9"/>
  <c r="D41" i="9" s="1"/>
  <c r="C21" i="9"/>
  <c r="C41" i="9" s="1"/>
  <c r="B21" i="9"/>
  <c r="AB20" i="9"/>
  <c r="AA20" i="9"/>
  <c r="Z20" i="9"/>
  <c r="Y20" i="9"/>
  <c r="X20" i="9"/>
  <c r="W20" i="9"/>
  <c r="V20" i="9"/>
  <c r="U20" i="9"/>
  <c r="T20" i="9"/>
  <c r="S20" i="9"/>
  <c r="R20" i="9"/>
  <c r="Q20" i="9"/>
  <c r="P20" i="9"/>
  <c r="O20" i="9"/>
  <c r="N20" i="9"/>
  <c r="M20" i="9"/>
  <c r="L20" i="9"/>
  <c r="K20" i="9"/>
  <c r="J20" i="9"/>
  <c r="I20" i="9"/>
  <c r="I40" i="9" s="1"/>
  <c r="H20" i="9"/>
  <c r="G20" i="9"/>
  <c r="F20" i="9"/>
  <c r="E20" i="9"/>
  <c r="D20" i="9"/>
  <c r="C20" i="9"/>
  <c r="B20" i="9"/>
  <c r="AB19" i="9"/>
  <c r="AA19" i="9"/>
  <c r="Z19" i="9"/>
  <c r="Y19" i="9"/>
  <c r="X19" i="9"/>
  <c r="W19" i="9"/>
  <c r="V19" i="9"/>
  <c r="U19" i="9"/>
  <c r="T19" i="9"/>
  <c r="S19" i="9"/>
  <c r="R19" i="9"/>
  <c r="Q19" i="9"/>
  <c r="P19" i="9"/>
  <c r="O19" i="9"/>
  <c r="N19" i="9"/>
  <c r="N39" i="9" s="1"/>
  <c r="M19" i="9"/>
  <c r="M39" i="9" s="1"/>
  <c r="L19" i="9"/>
  <c r="K19" i="9"/>
  <c r="J19" i="9"/>
  <c r="I19" i="9"/>
  <c r="H19" i="9"/>
  <c r="G19" i="9"/>
  <c r="F19" i="9"/>
  <c r="E19" i="9"/>
  <c r="D19" i="9"/>
  <c r="C19" i="9"/>
  <c r="B19" i="9"/>
  <c r="AB18" i="9"/>
  <c r="AA18" i="9"/>
  <c r="Z18" i="9"/>
  <c r="Y18" i="9"/>
  <c r="X18" i="9"/>
  <c r="W18" i="9"/>
  <c r="V18" i="9"/>
  <c r="U18" i="9"/>
  <c r="T18" i="9"/>
  <c r="S18" i="9"/>
  <c r="S38" i="9" s="1"/>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L39" i="9" l="1"/>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D4" i="1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<sst xmlns="http://schemas.openxmlformats.org/spreadsheetml/2006/main" count="5677" uniqueCount="335">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</sst>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113</v>
      </c>
    </row>
    <row r="2" spans="1:2" x14ac:dyDescent="0.25">
      <c r="A2" s="3" t="s">
        <v>2</v>
      </c>
      <c r="B2" s="4" t="str">
        <f>IFERROR(INDEX(Geography!B:B, MATCH($B$1, Geography!C:C, 0)), "")</f>
        <v>MO</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3080900</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6245466</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0.99504572309570516</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3164566</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6245466</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1.0048709196075201</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5125212</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6245466</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1.0920287844693435</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732670</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6245466</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0.85872953835056975</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157426</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6245466</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0.39037009467955525</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230158</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6245466</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0.77835986373505062</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350437</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6245466</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0.28754082481171822</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5895029</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6245466</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1.1727368750641638</v>
      </c>
    </row>
    <row r="12" spans="1:28" x14ac:dyDescent="0.25">
      <c r="A12" s="4" t="s">
        <v>319</v>
      </c>
    </row>
    <row r="13" spans="1:28" x14ac:dyDescent="0.25">
      <c r="A13" s="4" t="s">
        <v>320</v>
      </c>
      <c r="B13" s="37">
        <f>INDEX(Census_pop_2020_2025!G:G, MATCH("."&amp;About!$B$1, Census_pop_2020_2025!A:A, 0))</f>
        <v>6243544</v>
      </c>
      <c r="C13" s="37">
        <f>INDEX(Census_pop_2020_2025!H:H, MATCH("."&amp;About!$B$1, Census_pop_2020_2025!A:A, 0))</f>
        <v>6270541</v>
      </c>
      <c r="D13" s="37">
        <f>INDEX(Census_pop_2020_2025!H:H, MATCH("."&amp;About!$B$1, Census_pop_2020_2025!A:A, 0))+0.2*(INDEX(Cooper_pop_2030_2050!D:D, MATCH(About!$B$1, Cooper_pop_2030_2050!B:B, 0))-INDEX(Census_pop_2020_2025!H:H, MATCH("."&amp;About!$B$1, Census_pop_2020_2025!A:A, 0)))</f>
        <v>6272773.338203772</v>
      </c>
      <c r="E13" s="37">
        <f>INDEX(Census_pop_2020_2025!H:H, MATCH("."&amp;About!$B$1, Census_pop_2020_2025!A:A, 0))+0.4*(INDEX(Cooper_pop_2030_2050!D:D, MATCH(About!$B$1, Cooper_pop_2030_2050!B:B, 0))-INDEX(Census_pop_2020_2025!H:H, MATCH("."&amp;About!$B$1, Census_pop_2020_2025!A:A, 0)))</f>
        <v>6275005.6764075439</v>
      </c>
      <c r="F13" s="37">
        <f>INDEX(Census_pop_2020_2025!H:H, MATCH("."&amp;About!$B$1, Census_pop_2020_2025!A:A, 0))+0.6*(INDEX(Cooper_pop_2030_2050!D:D, MATCH(About!$B$1, Cooper_pop_2030_2050!B:B, 0))-INDEX(Census_pop_2020_2025!H:H, MATCH("."&amp;About!$B$1, Census_pop_2020_2025!A:A, 0)))</f>
        <v>6277238.014611315</v>
      </c>
      <c r="G13" s="37">
        <f>INDEX(Census_pop_2020_2025!H:H, MATCH("."&amp;About!$B$1, Census_pop_2020_2025!A:A, 0))+0.8*(INDEX(Cooper_pop_2030_2050!D:D, MATCH(About!$B$1, Cooper_pop_2030_2050!B:B, 0))-INDEX(Census_pop_2020_2025!H:H, MATCH("."&amp;About!$B$1, Census_pop_2020_2025!A:A, 0)))</f>
        <v>6279470.352815087</v>
      </c>
      <c r="H13" s="37">
        <f>INDEX(Cooper_pop_2030_2050!D:D, MATCH(About!$B$1, Cooper_pop_2030_2050!B:B, 0))</f>
        <v>6281702.6910188589</v>
      </c>
      <c r="I13" s="37">
        <f>INDEX(Cooper_pop_2030_2050!D:D, MATCH(About!$B$1, Cooper_pop_2030_2050!B:B, 0))+0.1*(INDEX(Cooper_pop_2030_2050!E:E, MATCH(About!$B$1, Cooper_pop_2030_2050!B:B, 0))-INDEX(Cooper_pop_2030_2050!D:D, MATCH(About!$B$1, Cooper_pop_2030_2050!B:B, 0)))</f>
        <v>6274224.7849982791</v>
      </c>
      <c r="J13" s="37">
        <f>INDEX(Cooper_pop_2030_2050!D:D, MATCH(About!$B$1, Cooper_pop_2030_2050!B:B, 0))+0.2*(INDEX(Cooper_pop_2030_2050!E:E, MATCH(About!$B$1, Cooper_pop_2030_2050!B:B, 0))-INDEX(Cooper_pop_2030_2050!D:D, MATCH(About!$B$1, Cooper_pop_2030_2050!B:B, 0)))</f>
        <v>6266746.8789776992</v>
      </c>
      <c r="K13" s="37">
        <f>INDEX(Cooper_pop_2030_2050!D:D, MATCH(About!$B$1, Cooper_pop_2030_2050!B:B, 0))+0.3*(INDEX(Cooper_pop_2030_2050!E:E, MATCH(About!$B$1, Cooper_pop_2030_2050!B:B, 0))-INDEX(Cooper_pop_2030_2050!D:D, MATCH(About!$B$1, Cooper_pop_2030_2050!B:B, 0)))</f>
        <v>6259268.9729571203</v>
      </c>
      <c r="L13" s="37">
        <f>INDEX(Cooper_pop_2030_2050!D:D, MATCH(About!$B$1, Cooper_pop_2030_2050!B:B, 0))+0.4*(INDEX(Cooper_pop_2030_2050!E:E, MATCH(About!$B$1, Cooper_pop_2030_2050!B:B, 0))-INDEX(Cooper_pop_2030_2050!D:D, MATCH(About!$B$1, Cooper_pop_2030_2050!B:B, 0)))</f>
        <v>6251791.0669365404</v>
      </c>
      <c r="M13" s="37">
        <f>INDEX(Cooper_pop_2030_2050!D:D, MATCH(About!$B$1, Cooper_pop_2030_2050!B:B, 0))+0.5*(INDEX(Cooper_pop_2030_2050!E:E, MATCH(About!$B$1, Cooper_pop_2030_2050!B:B, 0))-INDEX(Cooper_pop_2030_2050!D:D, MATCH(About!$B$1, Cooper_pop_2030_2050!B:B, 0)))</f>
        <v>6244313.1609159606</v>
      </c>
      <c r="N13" s="37">
        <f>INDEX(Cooper_pop_2030_2050!D:D, MATCH(About!$B$1, Cooper_pop_2030_2050!B:B, 0))+0.6*(INDEX(Cooper_pop_2030_2050!E:E, MATCH(About!$B$1, Cooper_pop_2030_2050!B:B, 0))-INDEX(Cooper_pop_2030_2050!D:D, MATCH(About!$B$1, Cooper_pop_2030_2050!B:B, 0)))</f>
        <v>6236835.2548953807</v>
      </c>
      <c r="O13" s="37">
        <f>INDEX(Cooper_pop_2030_2050!D:D, MATCH(About!$B$1, Cooper_pop_2030_2050!B:B, 0))+0.7*(INDEX(Cooper_pop_2030_2050!E:E, MATCH(About!$B$1, Cooper_pop_2030_2050!B:B, 0))-INDEX(Cooper_pop_2030_2050!D:D, MATCH(About!$B$1, Cooper_pop_2030_2050!B:B, 0)))</f>
        <v>6229357.3488748008</v>
      </c>
      <c r="P13" s="37">
        <f>INDEX(Cooper_pop_2030_2050!D:D, MATCH(About!$B$1, Cooper_pop_2030_2050!B:B, 0))+0.8*(INDEX(Cooper_pop_2030_2050!E:E, MATCH(About!$B$1, Cooper_pop_2030_2050!B:B, 0))-INDEX(Cooper_pop_2030_2050!D:D, MATCH(About!$B$1, Cooper_pop_2030_2050!B:B, 0)))</f>
        <v>6221879.4428542219</v>
      </c>
      <c r="Q13" s="37">
        <f>INDEX(Cooper_pop_2030_2050!D:D, MATCH(About!$B$1, Cooper_pop_2030_2050!B:B, 0))+0.9*(INDEX(Cooper_pop_2030_2050!E:E, MATCH(About!$B$1, Cooper_pop_2030_2050!B:B, 0))-INDEX(Cooper_pop_2030_2050!D:D, MATCH(About!$B$1, Cooper_pop_2030_2050!B:B, 0)))</f>
        <v>6214401.5368336421</v>
      </c>
      <c r="R13" s="37">
        <f>INDEX(Cooper_pop_2030_2050!E:E, MATCH(About!$B$1, Cooper_pop_2030_2050!B:B, 0))</f>
        <v>6206923.6308130622</v>
      </c>
      <c r="S13" s="37">
        <f>INDEX(Cooper_pop_2030_2050!E:E, MATCH(About!$B$1, Cooper_pop_2030_2050!B:B, 0))+0.1*(INDEX(Cooper_pop_2030_2050!F:F, MATCH(About!$B$1, Cooper_pop_2030_2050!B:B, 0))-INDEX(Cooper_pop_2030_2050!E:E, MATCH(About!$B$1, Cooper_pop_2030_2050!B:B, 0)))</f>
        <v>6192348.1167167826</v>
      </c>
      <c r="T13" s="37">
        <f>INDEX(Cooper_pop_2030_2050!E:E, MATCH(About!$B$1, Cooper_pop_2030_2050!B:B, 0))+0.2*(INDEX(Cooper_pop_2030_2050!F:F, MATCH(About!$B$1, Cooper_pop_2030_2050!B:B, 0))-INDEX(Cooper_pop_2030_2050!E:E, MATCH(About!$B$1, Cooper_pop_2030_2050!B:B, 0)))</f>
        <v>6177772.6026205029</v>
      </c>
      <c r="U13" s="37">
        <f>INDEX(Cooper_pop_2030_2050!E:E, MATCH(About!$B$1, Cooper_pop_2030_2050!B:B, 0))+0.3*(INDEX(Cooper_pop_2030_2050!F:F, MATCH(About!$B$1, Cooper_pop_2030_2050!B:B, 0))-INDEX(Cooper_pop_2030_2050!E:E, MATCH(About!$B$1, Cooper_pop_2030_2050!B:B, 0)))</f>
        <v>6163197.0885242242</v>
      </c>
      <c r="V13" s="37">
        <f>INDEX(Cooper_pop_2030_2050!E:E, MATCH(About!$B$1, Cooper_pop_2030_2050!B:B, 0))+0.4*(INDEX(Cooper_pop_2030_2050!F:F, MATCH(About!$B$1, Cooper_pop_2030_2050!B:B, 0))-INDEX(Cooper_pop_2030_2050!E:E, MATCH(About!$B$1, Cooper_pop_2030_2050!B:B, 0)))</f>
        <v>6148621.5744279446</v>
      </c>
      <c r="W13" s="37">
        <f>INDEX(Cooper_pop_2030_2050!E:E, MATCH(About!$B$1, Cooper_pop_2030_2050!B:B, 0))+0.5*(INDEX(Cooper_pop_2030_2050!F:F, MATCH(About!$B$1, Cooper_pop_2030_2050!B:B, 0))-INDEX(Cooper_pop_2030_2050!E:E, MATCH(About!$B$1, Cooper_pop_2030_2050!B:B, 0)))</f>
        <v>6134046.060331665</v>
      </c>
      <c r="X13" s="37">
        <f>INDEX(Cooper_pop_2030_2050!E:E, MATCH(About!$B$1, Cooper_pop_2030_2050!B:B, 0))+0.6*(INDEX(Cooper_pop_2030_2050!F:F, MATCH(About!$B$1, Cooper_pop_2030_2050!B:B, 0))-INDEX(Cooper_pop_2030_2050!E:E, MATCH(About!$B$1, Cooper_pop_2030_2050!B:B, 0)))</f>
        <v>6119470.5462353854</v>
      </c>
      <c r="Y13" s="37">
        <f>INDEX(Cooper_pop_2030_2050!E:E, MATCH(About!$B$1, Cooper_pop_2030_2050!B:B, 0))+0.7*(INDEX(Cooper_pop_2030_2050!F:F, MATCH(About!$B$1, Cooper_pop_2030_2050!B:B, 0))-INDEX(Cooper_pop_2030_2050!E:E, MATCH(About!$B$1, Cooper_pop_2030_2050!B:B, 0)))</f>
        <v>6104895.0321391057</v>
      </c>
      <c r="Z13" s="37">
        <f>INDEX(Cooper_pop_2030_2050!E:E, MATCH(About!$B$1, Cooper_pop_2030_2050!B:B, 0))+0.8*(INDEX(Cooper_pop_2030_2050!F:F, MATCH(About!$B$1, Cooper_pop_2030_2050!B:B, 0))-INDEX(Cooper_pop_2030_2050!E:E, MATCH(About!$B$1, Cooper_pop_2030_2050!B:B, 0)))</f>
        <v>6090319.518042827</v>
      </c>
      <c r="AA13" s="37">
        <f>INDEX(Cooper_pop_2030_2050!E:E, MATCH(About!$B$1, Cooper_pop_2030_2050!B:B, 0))+0.9*(INDEX(Cooper_pop_2030_2050!F:F, MATCH(About!$B$1, Cooper_pop_2030_2050!B:B, 0))-INDEX(Cooper_pop_2030_2050!E:E, MATCH(About!$B$1, Cooper_pop_2030_2050!B:B, 0)))</f>
        <v>6075744.0039465474</v>
      </c>
      <c r="AB13" s="37">
        <f>INDEX(Cooper_pop_2030_2050!F:F, MATCH(About!$B$1, Cooper_pop_2030_2050!B:B, 0))</f>
        <v>6061168.4898502678</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1.8555348823120991E-2</v>
      </c>
      <c r="C15" s="39">
        <f t="shared" si="1"/>
        <v>1.8551004080546316E-2</v>
      </c>
      <c r="D15" s="39">
        <f t="shared" si="1"/>
        <v>1.8475794761299295E-2</v>
      </c>
      <c r="E15" s="39">
        <f t="shared" si="1"/>
        <v>1.8403368473287329E-2</v>
      </c>
      <c r="F15" s="39">
        <f t="shared" si="1"/>
        <v>1.8333870067509792E-2</v>
      </c>
      <c r="G15" s="39">
        <f t="shared" si="1"/>
        <v>1.8267348658316578E-2</v>
      </c>
      <c r="H15" s="39">
        <f t="shared" si="1"/>
        <v>1.8203952223981166E-2</v>
      </c>
      <c r="I15" s="39">
        <f t="shared" si="1"/>
        <v>1.8115834492846525E-2</v>
      </c>
      <c r="J15" s="39">
        <f t="shared" si="1"/>
        <v>1.8031463873438663E-2</v>
      </c>
      <c r="K15" s="39">
        <f t="shared" si="1"/>
        <v>1.7950204895858472E-2</v>
      </c>
      <c r="L15" s="39">
        <f t="shared" si="1"/>
        <v>1.7872082330254318E-2</v>
      </c>
      <c r="M15" s="39">
        <f t="shared" si="1"/>
        <v>1.7797109584589781E-2</v>
      </c>
      <c r="N15" s="39">
        <f t="shared" si="1"/>
        <v>1.7725284267114855E-2</v>
      </c>
      <c r="O15" s="39">
        <f t="shared" si="1"/>
        <v>1.7656605950619665E-2</v>
      </c>
      <c r="P15" s="39">
        <f t="shared" si="1"/>
        <v>1.759105327042881E-2</v>
      </c>
      <c r="Q15" s="39">
        <f t="shared" si="1"/>
        <v>1.7528570539964209E-2</v>
      </c>
      <c r="R15" s="39">
        <f t="shared" si="1"/>
        <v>1.7469083382998719E-2</v>
      </c>
      <c r="S15" s="39">
        <f t="shared" si="1"/>
        <v>1.7392597519152241E-2</v>
      </c>
      <c r="T15" s="39">
        <f t="shared" si="1"/>
        <v>1.7318975256490003E-2</v>
      </c>
      <c r="U15" s="39">
        <f t="shared" si="1"/>
        <v>1.7248039006501806E-2</v>
      </c>
      <c r="V15" s="39">
        <f t="shared" si="1"/>
        <v>1.7179556487882719E-2</v>
      </c>
      <c r="W15" s="39">
        <f t="shared" si="1"/>
        <v>1.7113270697833305E-2</v>
      </c>
      <c r="X15" s="39">
        <f t="shared" si="1"/>
        <v>1.7048921265263178E-2</v>
      </c>
      <c r="Y15" s="39">
        <f t="shared" si="1"/>
        <v>1.6986336982692227E-2</v>
      </c>
      <c r="Z15" s="39">
        <f t="shared" si="1"/>
        <v>1.6925275762661833E-2</v>
      </c>
      <c r="AA15" s="39">
        <f t="shared" si="1"/>
        <v>1.6865495167697545E-2</v>
      </c>
      <c r="AB15" s="39">
        <f t="shared" si="1"/>
        <v>1.6806759558584374E-2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173.75925020311433</v>
      </c>
      <c r="C48" s="37">
        <f t="shared" si="10"/>
        <v>172.40796849692998</v>
      </c>
      <c r="D48" s="37">
        <f t="shared" si="10"/>
        <v>170.38532685177475</v>
      </c>
      <c r="E48" s="37">
        <f t="shared" si="10"/>
        <v>168.39892765471023</v>
      </c>
      <c r="F48" s="37">
        <f t="shared" si="10"/>
        <v>166.41300174402494</v>
      </c>
      <c r="G48" s="37">
        <f t="shared" si="10"/>
        <v>164.4277593619226</v>
      </c>
      <c r="H48" s="37">
        <f t="shared" si="10"/>
        <v>162.44424276147393</v>
      </c>
      <c r="I48" s="37">
        <f t="shared" si="10"/>
        <v>160.30596174308073</v>
      </c>
      <c r="J48" s="37">
        <f t="shared" si="10"/>
        <v>158.08811631518736</v>
      </c>
      <c r="K48" s="37">
        <f t="shared" si="10"/>
        <v>155.92892734805483</v>
      </c>
      <c r="L48" s="37">
        <f t="shared" si="10"/>
        <v>153.70312831626933</v>
      </c>
      <c r="M48" s="37">
        <f t="shared" si="10"/>
        <v>151.53538054590885</v>
      </c>
      <c r="N48" s="37">
        <f t="shared" si="10"/>
        <v>149.44226891139243</v>
      </c>
      <c r="O48" s="37">
        <f t="shared" si="10"/>
        <v>147.17660398320464</v>
      </c>
      <c r="P48" s="37">
        <f t="shared" si="10"/>
        <v>145.00232683121408</v>
      </c>
      <c r="Q48" s="37">
        <f t="shared" si="10"/>
        <v>142.76055307452006</v>
      </c>
      <c r="R48" s="37">
        <f t="shared" si="10"/>
        <v>140.53780927330669</v>
      </c>
      <c r="S48" s="37">
        <f t="shared" si="10"/>
        <v>138.13992246371004</v>
      </c>
      <c r="T48" s="37">
        <f t="shared" si="10"/>
        <v>135.7801642158239</v>
      </c>
      <c r="U48" s="37">
        <f t="shared" si="10"/>
        <v>133.45627997393368</v>
      </c>
      <c r="V48" s="37">
        <f t="shared" si="10"/>
        <v>131.16567040759094</v>
      </c>
      <c r="W48" s="37">
        <f t="shared" si="10"/>
        <v>128.92267368437575</v>
      </c>
      <c r="X48" s="37">
        <f t="shared" si="10"/>
        <v>126.84323892063347</v>
      </c>
      <c r="Y48" s="37">
        <f t="shared" si="10"/>
        <v>124.78880945269152</v>
      </c>
      <c r="Z48" s="37">
        <f t="shared" si="10"/>
        <v>122.84134125736091</v>
      </c>
      <c r="AA48" s="37">
        <f t="shared" si="10"/>
        <v>120.93065124146987</v>
      </c>
      <c r="AB48" s="37">
        <f t="shared" si="10"/>
        <v>119.03783184277904</v>
      </c>
    </row>
    <row r="49" spans="1:28" x14ac:dyDescent="0.25">
      <c r="A49" s="4" t="s">
        <v>216</v>
      </c>
      <c r="B49" s="37">
        <f t="shared" ref="B49:AB49" si="11">B29*B15*$F$5</f>
        <v>139.9175611882014</v>
      </c>
      <c r="C49" s="37">
        <f t="shared" si="11"/>
        <v>139.12050348784848</v>
      </c>
      <c r="D49" s="37">
        <f t="shared" si="11"/>
        <v>137.7952850099629</v>
      </c>
      <c r="E49" s="37">
        <f t="shared" si="11"/>
        <v>136.47841233601673</v>
      </c>
      <c r="F49" s="37">
        <f t="shared" si="11"/>
        <v>135.15239620882377</v>
      </c>
      <c r="G49" s="37">
        <f t="shared" si="11"/>
        <v>133.85433972947797</v>
      </c>
      <c r="H49" s="37">
        <f t="shared" si="11"/>
        <v>132.56663316893861</v>
      </c>
      <c r="I49" s="37">
        <f t="shared" si="11"/>
        <v>131.01472969144825</v>
      </c>
      <c r="J49" s="37">
        <f t="shared" si="11"/>
        <v>129.55294984326039</v>
      </c>
      <c r="K49" s="37">
        <f t="shared" si="11"/>
        <v>128.01312327929492</v>
      </c>
      <c r="L49" s="37">
        <f t="shared" si="11"/>
        <v>126.54007089262696</v>
      </c>
      <c r="M49" s="37">
        <f t="shared" si="11"/>
        <v>124.98986334573695</v>
      </c>
      <c r="N49" s="37">
        <f t="shared" si="11"/>
        <v>123.38111045537146</v>
      </c>
      <c r="O49" s="37">
        <f t="shared" si="11"/>
        <v>121.89172972959048</v>
      </c>
      <c r="P49" s="37">
        <f t="shared" si="11"/>
        <v>120.25484777533073</v>
      </c>
      <c r="Q49" s="37">
        <f t="shared" si="11"/>
        <v>118.68280047624427</v>
      </c>
      <c r="R49" s="37">
        <f t="shared" si="11"/>
        <v>117.0512314570075</v>
      </c>
      <c r="S49" s="37">
        <f t="shared" si="11"/>
        <v>115.31532742773744</v>
      </c>
      <c r="T49" s="37">
        <f t="shared" si="11"/>
        <v>113.57416155162734</v>
      </c>
      <c r="U49" s="37">
        <f t="shared" si="11"/>
        <v>111.86106888666107</v>
      </c>
      <c r="V49" s="37">
        <f t="shared" si="11"/>
        <v>110.20850326151664</v>
      </c>
      <c r="W49" s="37">
        <f t="shared" si="11"/>
        <v>108.5967062217867</v>
      </c>
      <c r="X49" s="37">
        <f t="shared" si="11"/>
        <v>106.98912261243188</v>
      </c>
      <c r="Y49" s="37">
        <f t="shared" si="11"/>
        <v>105.46982100292345</v>
      </c>
      <c r="Z49" s="37">
        <f t="shared" si="11"/>
        <v>103.95116887248773</v>
      </c>
      <c r="AA49" s="37">
        <f t="shared" si="11"/>
        <v>102.49936082346493</v>
      </c>
      <c r="AB49" s="37">
        <f t="shared" si="11"/>
        <v>101.16285736021037</v>
      </c>
    </row>
    <row r="50" spans="1:28" x14ac:dyDescent="0.25">
      <c r="A50" s="4" t="s">
        <v>217</v>
      </c>
      <c r="B50" s="37">
        <f t="shared" ref="B50:AB50" si="12">B30*B15*$F$6</f>
        <v>199.75240775423291</v>
      </c>
      <c r="C50" s="37">
        <f t="shared" si="12"/>
        <v>198.3888506672379</v>
      </c>
      <c r="D50" s="37">
        <f t="shared" si="12"/>
        <v>196.29327393544463</v>
      </c>
      <c r="E50" s="37">
        <f t="shared" si="12"/>
        <v>194.19738930919746</v>
      </c>
      <c r="F50" s="37">
        <f t="shared" si="12"/>
        <v>192.12260845126158</v>
      </c>
      <c r="G50" s="37">
        <f t="shared" si="12"/>
        <v>190.08897587875563</v>
      </c>
      <c r="H50" s="37">
        <f t="shared" si="12"/>
        <v>188.0178502146484</v>
      </c>
      <c r="I50" s="37">
        <f t="shared" si="12"/>
        <v>185.72292342353691</v>
      </c>
      <c r="J50" s="37">
        <f t="shared" si="12"/>
        <v>183.38114286448803</v>
      </c>
      <c r="K50" s="37">
        <f t="shared" si="12"/>
        <v>181.00616476201546</v>
      </c>
      <c r="L50" s="37">
        <f t="shared" si="12"/>
        <v>178.57897933884942</v>
      </c>
      <c r="M50" s="37">
        <f t="shared" si="12"/>
        <v>176.10013583329589</v>
      </c>
      <c r="N50" s="37">
        <f t="shared" si="12"/>
        <v>173.56992051244362</v>
      </c>
      <c r="O50" s="37">
        <f t="shared" si="12"/>
        <v>170.93069194587957</v>
      </c>
      <c r="P50" s="37">
        <f t="shared" si="12"/>
        <v>168.25983398255011</v>
      </c>
      <c r="Q50" s="37">
        <f t="shared" si="12"/>
        <v>165.53745256193505</v>
      </c>
      <c r="R50" s="37">
        <f t="shared" si="12"/>
        <v>162.76276182706337</v>
      </c>
      <c r="S50" s="37">
        <f t="shared" si="12"/>
        <v>159.78993569453533</v>
      </c>
      <c r="T50" s="37">
        <f t="shared" si="12"/>
        <v>156.86292491308953</v>
      </c>
      <c r="U50" s="37">
        <f t="shared" si="12"/>
        <v>153.97902770338115</v>
      </c>
      <c r="V50" s="37">
        <f t="shared" si="12"/>
        <v>151.15391401426348</v>
      </c>
      <c r="W50" s="37">
        <f t="shared" si="12"/>
        <v>148.42155890408782</v>
      </c>
      <c r="X50" s="37">
        <f t="shared" si="12"/>
        <v>145.79687486912775</v>
      </c>
      <c r="Y50" s="37">
        <f t="shared" si="12"/>
        <v>143.23977126044107</v>
      </c>
      <c r="Z50" s="37">
        <f t="shared" si="12"/>
        <v>140.76567742918766</v>
      </c>
      <c r="AA50" s="37">
        <f t="shared" si="12"/>
        <v>138.40831049871935</v>
      </c>
      <c r="AB50" s="37">
        <f t="shared" si="12"/>
        <v>136.12765147465535</v>
      </c>
    </row>
    <row r="51" spans="1:28" x14ac:dyDescent="0.25">
      <c r="A51" s="4" t="s">
        <v>218</v>
      </c>
      <c r="B51" s="37">
        <f t="shared" ref="B51:AB51" si="13">B31*B15*$F$7</f>
        <v>74.53937423058477</v>
      </c>
      <c r="C51" s="37">
        <f t="shared" si="13"/>
        <v>73.518312209674946</v>
      </c>
      <c r="D51" s="37">
        <f t="shared" si="13"/>
        <v>72.236580844556499</v>
      </c>
      <c r="E51" s="37">
        <f t="shared" si="13"/>
        <v>70.941983831981787</v>
      </c>
      <c r="F51" s="37">
        <f t="shared" si="13"/>
        <v>69.634985651631652</v>
      </c>
      <c r="G51" s="37">
        <f t="shared" si="13"/>
        <v>68.347003662227877</v>
      </c>
      <c r="H51" s="37">
        <f t="shared" si="13"/>
        <v>67.031180146783797</v>
      </c>
      <c r="I51" s="37">
        <f t="shared" si="13"/>
        <v>65.648861245502729</v>
      </c>
      <c r="J51" s="37">
        <f t="shared" si="13"/>
        <v>64.290193489760938</v>
      </c>
      <c r="K51" s="37">
        <f t="shared" si="13"/>
        <v>62.9522918318103</v>
      </c>
      <c r="L51" s="37">
        <f t="shared" si="13"/>
        <v>61.665391165449464</v>
      </c>
      <c r="M51" s="37">
        <f t="shared" si="13"/>
        <v>60.443884123807415</v>
      </c>
      <c r="N51" s="37">
        <f t="shared" si="13"/>
        <v>59.241008384338762</v>
      </c>
      <c r="O51" s="37">
        <f t="shared" si="13"/>
        <v>58.101738462349523</v>
      </c>
      <c r="P51" s="37">
        <f t="shared" si="13"/>
        <v>56.979670007746883</v>
      </c>
      <c r="Q51" s="37">
        <f t="shared" si="13"/>
        <v>55.90424698262499</v>
      </c>
      <c r="R51" s="37">
        <f t="shared" si="13"/>
        <v>54.859453892811096</v>
      </c>
      <c r="S51" s="37">
        <f t="shared" si="13"/>
        <v>53.767934058019932</v>
      </c>
      <c r="T51" s="37">
        <f t="shared" si="13"/>
        <v>52.707486581062369</v>
      </c>
      <c r="U51" s="37">
        <f t="shared" si="13"/>
        <v>51.662165200388635</v>
      </c>
      <c r="V51" s="37">
        <f t="shared" si="13"/>
        <v>50.660403029288851</v>
      </c>
      <c r="W51" s="37">
        <f t="shared" si="13"/>
        <v>49.656672464497277</v>
      </c>
      <c r="X51" s="37">
        <f t="shared" si="13"/>
        <v>48.694011268207241</v>
      </c>
      <c r="Y51" s="37">
        <f t="shared" si="13"/>
        <v>47.785928677297925</v>
      </c>
      <c r="Z51" s="37">
        <f t="shared" si="13"/>
        <v>46.887439665100686</v>
      </c>
      <c r="AA51" s="37">
        <f t="shared" si="13"/>
        <v>46.026652638767132</v>
      </c>
      <c r="AB51" s="37">
        <f t="shared" si="13"/>
        <v>45.173602544735139</v>
      </c>
    </row>
    <row r="52" spans="1:28" x14ac:dyDescent="0.25">
      <c r="A52" s="4" t="s">
        <v>219</v>
      </c>
      <c r="B52" s="37">
        <f t="shared" ref="B52:AB52" si="14">B32*B15*$F$8</f>
        <v>6.2366132714056608</v>
      </c>
      <c r="C52" s="37">
        <f t="shared" si="14"/>
        <v>6.2568782374956609</v>
      </c>
      <c r="D52" s="37">
        <f t="shared" si="14"/>
        <v>6.2531488494653944</v>
      </c>
      <c r="E52" s="37">
        <f t="shared" si="14"/>
        <v>6.2573726078990681</v>
      </c>
      <c r="F52" s="37">
        <f t="shared" si="14"/>
        <v>6.2623702698344044</v>
      </c>
      <c r="G52" s="37">
        <f t="shared" si="14"/>
        <v>6.268172403631219</v>
      </c>
      <c r="H52" s="37">
        <f t="shared" si="14"/>
        <v>6.2748439624911656</v>
      </c>
      <c r="I52" s="37">
        <f t="shared" si="14"/>
        <v>6.2727575832142541</v>
      </c>
      <c r="J52" s="37">
        <f t="shared" si="14"/>
        <v>6.2716993352013413</v>
      </c>
      <c r="K52" s="37">
        <f t="shared" si="14"/>
        <v>6.2854791966881773</v>
      </c>
      <c r="L52" s="37">
        <f t="shared" si="14"/>
        <v>6.2860305507153482</v>
      </c>
      <c r="M52" s="37">
        <f t="shared" si="14"/>
        <v>6.2874507149706531</v>
      </c>
      <c r="N52" s="37">
        <f t="shared" si="14"/>
        <v>6.289753595896272</v>
      </c>
      <c r="O52" s="37">
        <f t="shared" si="14"/>
        <v>6.2929537851733164</v>
      </c>
      <c r="P52" s="37">
        <f t="shared" si="14"/>
        <v>6.290191355712401</v>
      </c>
      <c r="Q52" s="37">
        <f t="shared" si="14"/>
        <v>6.2952193619804433</v>
      </c>
      <c r="R52" s="37">
        <f t="shared" si="14"/>
        <v>6.2874939309197275</v>
      </c>
      <c r="S52" s="37">
        <f t="shared" si="14"/>
        <v>6.2803336947542432</v>
      </c>
      <c r="T52" s="37">
        <f t="shared" si="14"/>
        <v>6.2807924998742273</v>
      </c>
      <c r="U52" s="37">
        <f t="shared" si="14"/>
        <v>6.2685334352244428</v>
      </c>
      <c r="V52" s="37">
        <f t="shared" si="14"/>
        <v>6.2637636766075264</v>
      </c>
      <c r="W52" s="37">
        <f t="shared" si="14"/>
        <v>6.259637029126873</v>
      </c>
      <c r="X52" s="37">
        <f t="shared" si="14"/>
        <v>6.24941027898626</v>
      </c>
      <c r="Y52" s="37">
        <f t="shared" si="14"/>
        <v>6.2529933715494286</v>
      </c>
      <c r="Z52" s="37">
        <f t="shared" si="14"/>
        <v>6.2437298193407482</v>
      </c>
      <c r="AA52" s="37">
        <f t="shared" si="14"/>
        <v>6.2348443433237932</v>
      </c>
      <c r="AB52" s="37">
        <f t="shared" si="14"/>
        <v>6.2262526478139062</v>
      </c>
    </row>
    <row r="53" spans="1:28" x14ac:dyDescent="0.25">
      <c r="A53" s="4" t="s">
        <v>220</v>
      </c>
      <c r="B53" s="37">
        <f t="shared" ref="B53:AB53" si="15">B33*B15*$F$9</f>
        <v>21.924077470348553</v>
      </c>
      <c r="C53" s="37">
        <f t="shared" si="15"/>
        <v>22.106655579680353</v>
      </c>
      <c r="D53" s="37">
        <f t="shared" si="15"/>
        <v>22.16083914000739</v>
      </c>
      <c r="E53" s="37">
        <f t="shared" si="15"/>
        <v>22.245860564688872</v>
      </c>
      <c r="F53" s="37">
        <f t="shared" si="15"/>
        <v>22.318825222103481</v>
      </c>
      <c r="G53" s="37">
        <f t="shared" si="15"/>
        <v>22.365812202643546</v>
      </c>
      <c r="H53" s="37">
        <f t="shared" si="15"/>
        <v>22.4723920751808</v>
      </c>
      <c r="I53" s="37">
        <f t="shared" si="15"/>
        <v>22.490518355341507</v>
      </c>
      <c r="J53" s="37">
        <f t="shared" si="15"/>
        <v>22.526123260374494</v>
      </c>
      <c r="K53" s="37">
        <f t="shared" si="15"/>
        <v>22.522411087251701</v>
      </c>
      <c r="L53" s="37">
        <f t="shared" si="15"/>
        <v>22.535676738926139</v>
      </c>
      <c r="M53" s="37">
        <f t="shared" si="15"/>
        <v>22.51040316060098</v>
      </c>
      <c r="N53" s="37">
        <f t="shared" si="15"/>
        <v>22.516132550004617</v>
      </c>
      <c r="O53" s="37">
        <f t="shared" si="15"/>
        <v>22.497607598661158</v>
      </c>
      <c r="P53" s="37">
        <f t="shared" si="15"/>
        <v>22.455158515504255</v>
      </c>
      <c r="Q53" s="37">
        <f t="shared" si="15"/>
        <v>22.389042209986052</v>
      </c>
      <c r="R53" s="37">
        <f t="shared" si="15"/>
        <v>22.326657179693214</v>
      </c>
      <c r="S53" s="37">
        <f t="shared" si="15"/>
        <v>22.228903129079718</v>
      </c>
      <c r="T53" s="37">
        <f t="shared" si="15"/>
        <v>22.080887371461181</v>
      </c>
      <c r="U53" s="37">
        <f t="shared" si="15"/>
        <v>21.963596591744846</v>
      </c>
      <c r="V53" s="37">
        <f t="shared" si="15"/>
        <v>21.822903667001182</v>
      </c>
      <c r="W53" s="37">
        <f t="shared" si="15"/>
        <v>21.685420802838451</v>
      </c>
      <c r="X53" s="37">
        <f t="shared" si="15"/>
        <v>21.577338749430123</v>
      </c>
      <c r="Y53" s="37">
        <f t="shared" si="15"/>
        <v>21.432023844452882</v>
      </c>
      <c r="Z53" s="37">
        <f t="shared" si="15"/>
        <v>21.328633689475559</v>
      </c>
      <c r="AA53" s="37">
        <f t="shared" si="15"/>
        <v>21.18766317617289</v>
      </c>
      <c r="AB53" s="37">
        <f t="shared" si="15"/>
        <v>21.087711812714161</v>
      </c>
    </row>
    <row r="54" spans="1:28" x14ac:dyDescent="0.25">
      <c r="A54" s="4" t="s">
        <v>221</v>
      </c>
      <c r="B54" s="37">
        <f t="shared" ref="B54:AB54" si="16">B34*B15*$F$10</f>
        <v>20.493349392539589</v>
      </c>
      <c r="C54" s="37">
        <f t="shared" si="16"/>
        <v>20.573897602563317</v>
      </c>
      <c r="D54" s="37">
        <f t="shared" si="16"/>
        <v>20.586112900774584</v>
      </c>
      <c r="E54" s="37">
        <f t="shared" si="16"/>
        <v>20.605956706979001</v>
      </c>
      <c r="F54" s="37">
        <f t="shared" si="16"/>
        <v>20.64411865062953</v>
      </c>
      <c r="G54" s="37">
        <f t="shared" si="16"/>
        <v>20.663761840320184</v>
      </c>
      <c r="H54" s="37">
        <f t="shared" si="16"/>
        <v>20.681033156838108</v>
      </c>
      <c r="I54" s="37">
        <f t="shared" si="16"/>
        <v>20.664269583159214</v>
      </c>
      <c r="J54" s="37">
        <f t="shared" si="16"/>
        <v>20.640617121025119</v>
      </c>
      <c r="K54" s="37">
        <f t="shared" si="16"/>
        <v>20.609536968128886</v>
      </c>
      <c r="L54" s="37">
        <f t="shared" si="16"/>
        <v>20.566091083965734</v>
      </c>
      <c r="M54" s="37">
        <f t="shared" si="16"/>
        <v>20.510521441423666</v>
      </c>
      <c r="N54" s="37">
        <f t="shared" si="16"/>
        <v>20.443035604193582</v>
      </c>
      <c r="O54" s="37">
        <f t="shared" si="16"/>
        <v>20.363827099089264</v>
      </c>
      <c r="P54" s="37">
        <f t="shared" si="16"/>
        <v>20.257874596577324</v>
      </c>
      <c r="Q54" s="37">
        <f t="shared" si="16"/>
        <v>20.140557804803446</v>
      </c>
      <c r="R54" s="37">
        <f t="shared" si="16"/>
        <v>19.996860160360139</v>
      </c>
      <c r="S54" s="37">
        <f t="shared" si="16"/>
        <v>19.834290562667757</v>
      </c>
      <c r="T54" s="37">
        <f t="shared" si="16"/>
        <v>19.655714361781822</v>
      </c>
      <c r="U54" s="37">
        <f t="shared" si="16"/>
        <v>19.461138281720991</v>
      </c>
      <c r="V54" s="37">
        <f t="shared" si="16"/>
        <v>19.270252809301102</v>
      </c>
      <c r="W54" s="37">
        <f t="shared" si="16"/>
        <v>19.058118862321276</v>
      </c>
      <c r="X54" s="37">
        <f t="shared" si="16"/>
        <v>18.873704398640694</v>
      </c>
      <c r="Y54" s="37">
        <f t="shared" si="16"/>
        <v>18.687199215835701</v>
      </c>
      <c r="Z54" s="37">
        <f t="shared" si="16"/>
        <v>18.503222876759878</v>
      </c>
      <c r="AA54" s="37">
        <f t="shared" si="16"/>
        <v>18.326330001016704</v>
      </c>
      <c r="AB54" s="37">
        <f t="shared" si="16"/>
        <v>18.161021683125526</v>
      </c>
    </row>
    <row r="55" spans="1:28" x14ac:dyDescent="0.25">
      <c r="A55" s="4" t="s">
        <v>222</v>
      </c>
      <c r="B55" s="37">
        <f t="shared" ref="B55:AB55" si="17">B35*B15*$F$11</f>
        <v>284.49732342197836</v>
      </c>
      <c r="C55" s="37">
        <f t="shared" si="17"/>
        <v>281.64601109743671</v>
      </c>
      <c r="D55" s="37">
        <f t="shared" si="17"/>
        <v>277.66575508966059</v>
      </c>
      <c r="E55" s="37">
        <f t="shared" si="17"/>
        <v>273.7068406330078</v>
      </c>
      <c r="F55" s="37">
        <f t="shared" si="17"/>
        <v>269.66310246566178</v>
      </c>
      <c r="G55" s="37">
        <f t="shared" si="17"/>
        <v>265.72832910117046</v>
      </c>
      <c r="H55" s="37">
        <f t="shared" si="17"/>
        <v>261.81734229549994</v>
      </c>
      <c r="I55" s="37">
        <f t="shared" si="17"/>
        <v>257.55443376512051</v>
      </c>
      <c r="J55" s="37">
        <f t="shared" si="17"/>
        <v>253.33102789731046</v>
      </c>
      <c r="K55" s="37">
        <f t="shared" si="17"/>
        <v>249.11596240137536</v>
      </c>
      <c r="L55" s="37">
        <f t="shared" si="17"/>
        <v>244.95075454982398</v>
      </c>
      <c r="M55" s="37">
        <f t="shared" si="17"/>
        <v>240.8133672269899</v>
      </c>
      <c r="N55" s="37">
        <f t="shared" si="17"/>
        <v>236.74421904456756</v>
      </c>
      <c r="O55" s="37">
        <f t="shared" si="17"/>
        <v>232.65882823573676</v>
      </c>
      <c r="P55" s="37">
        <f t="shared" si="17"/>
        <v>228.61807875694802</v>
      </c>
      <c r="Q55" s="37">
        <f t="shared" si="17"/>
        <v>224.61979415729857</v>
      </c>
      <c r="R55" s="37">
        <f t="shared" si="17"/>
        <v>220.68206730239208</v>
      </c>
      <c r="S55" s="37">
        <f t="shared" si="17"/>
        <v>216.4931260834029</v>
      </c>
      <c r="T55" s="37">
        <f t="shared" si="17"/>
        <v>212.40826443819381</v>
      </c>
      <c r="U55" s="37">
        <f t="shared" si="17"/>
        <v>208.46370153253108</v>
      </c>
      <c r="V55" s="37">
        <f t="shared" si="17"/>
        <v>204.61394141081033</v>
      </c>
      <c r="W55" s="37">
        <f t="shared" si="17"/>
        <v>200.95453772984547</v>
      </c>
      <c r="X55" s="37">
        <f t="shared" si="17"/>
        <v>197.37976745147361</v>
      </c>
      <c r="Y55" s="37">
        <f t="shared" si="17"/>
        <v>193.94602452819967</v>
      </c>
      <c r="Z55" s="37">
        <f t="shared" si="17"/>
        <v>190.62878765206139</v>
      </c>
      <c r="AA55" s="37">
        <f t="shared" si="17"/>
        <v>187.40401724158167</v>
      </c>
      <c r="AB55" s="37">
        <f t="shared" si="17"/>
        <v>184.28762750184219</v>
      </c>
    </row>
    <row r="57" spans="1:28" x14ac:dyDescent="0.25">
      <c r="A57" s="4" t="s">
        <v>327</v>
      </c>
    </row>
    <row r="58" spans="1:28" x14ac:dyDescent="0.25">
      <c r="A58" s="4" t="s">
        <v>215</v>
      </c>
      <c r="B58" s="37">
        <f t="shared" ref="B58:AB58" si="18">B38*B15*$F$4</f>
        <v>27553.664002721842</v>
      </c>
      <c r="C58" s="37">
        <f t="shared" si="18"/>
        <v>28048.98594201537</v>
      </c>
      <c r="D58" s="37">
        <f t="shared" si="18"/>
        <v>28430.872883513784</v>
      </c>
      <c r="E58" s="37">
        <f t="shared" si="18"/>
        <v>28811.067817551357</v>
      </c>
      <c r="F58" s="37">
        <f t="shared" si="18"/>
        <v>29192.073172412503</v>
      </c>
      <c r="G58" s="37">
        <f t="shared" si="18"/>
        <v>29574.766401075798</v>
      </c>
      <c r="H58" s="37">
        <f t="shared" si="18"/>
        <v>29957.141986946557</v>
      </c>
      <c r="I58" s="37">
        <f t="shared" si="18"/>
        <v>30290.63436207292</v>
      </c>
      <c r="J58" s="37">
        <f t="shared" si="18"/>
        <v>30616.84707964983</v>
      </c>
      <c r="K58" s="37">
        <f t="shared" si="18"/>
        <v>30935.352538299732</v>
      </c>
      <c r="L58" s="37">
        <f t="shared" si="18"/>
        <v>31243.650849827281</v>
      </c>
      <c r="M58" s="37">
        <f t="shared" si="18"/>
        <v>31541.35365426635</v>
      </c>
      <c r="N58" s="37">
        <f t="shared" si="18"/>
        <v>31825.382913587375</v>
      </c>
      <c r="O58" s="37">
        <f t="shared" si="18"/>
        <v>32094.70733300547</v>
      </c>
      <c r="P58" s="37">
        <f t="shared" si="18"/>
        <v>32345.391084270061</v>
      </c>
      <c r="Q58" s="37">
        <f t="shared" si="18"/>
        <v>32576.981474773202</v>
      </c>
      <c r="R58" s="37">
        <f t="shared" si="18"/>
        <v>32784.750536467865</v>
      </c>
      <c r="S58" s="37">
        <f t="shared" si="18"/>
        <v>32931.539897277704</v>
      </c>
      <c r="T58" s="37">
        <f t="shared" si="18"/>
        <v>33053.069291086729</v>
      </c>
      <c r="U58" s="37">
        <f t="shared" si="18"/>
        <v>33151.339722100071</v>
      </c>
      <c r="V58" s="37">
        <f t="shared" si="18"/>
        <v>33218.607762654377</v>
      </c>
      <c r="W58" s="37">
        <f t="shared" si="18"/>
        <v>33257.077492418655</v>
      </c>
      <c r="X58" s="37">
        <f t="shared" si="18"/>
        <v>33265.144099507728</v>
      </c>
      <c r="Y58" s="37">
        <f t="shared" si="18"/>
        <v>33256.716333510281</v>
      </c>
      <c r="Z58" s="37">
        <f t="shared" si="18"/>
        <v>33219.774745751223</v>
      </c>
      <c r="AA58" s="37">
        <f t="shared" si="18"/>
        <v>33156.54644962625</v>
      </c>
      <c r="AB58" s="37">
        <f t="shared" si="18"/>
        <v>33070.191387511724</v>
      </c>
    </row>
    <row r="59" spans="1:28" x14ac:dyDescent="0.25">
      <c r="A59" s="4" t="s">
        <v>216</v>
      </c>
      <c r="B59" s="37">
        <f t="shared" ref="B59:AB59" si="19">B39*B15*$F$5</f>
        <v>26147.243412888623</v>
      </c>
      <c r="C59" s="37">
        <f t="shared" si="19"/>
        <v>26548.341633225882</v>
      </c>
      <c r="D59" s="37">
        <f t="shared" si="19"/>
        <v>26844.274130410311</v>
      </c>
      <c r="E59" s="37">
        <f t="shared" si="19"/>
        <v>27152.860952505365</v>
      </c>
      <c r="F59" s="37">
        <f t="shared" si="19"/>
        <v>27481.662745466241</v>
      </c>
      <c r="G59" s="37">
        <f t="shared" si="19"/>
        <v>27831.973810185529</v>
      </c>
      <c r="H59" s="37">
        <f t="shared" si="19"/>
        <v>28206.199063756849</v>
      </c>
      <c r="I59" s="37">
        <f t="shared" si="19"/>
        <v>28557.351808779265</v>
      </c>
      <c r="J59" s="37">
        <f t="shared" si="19"/>
        <v>28926.945026876871</v>
      </c>
      <c r="K59" s="37">
        <f t="shared" si="19"/>
        <v>29307.429422620182</v>
      </c>
      <c r="L59" s="37">
        <f t="shared" si="19"/>
        <v>29698.106967289481</v>
      </c>
      <c r="M59" s="37">
        <f t="shared" si="19"/>
        <v>30097.090538149143</v>
      </c>
      <c r="N59" s="37">
        <f t="shared" si="19"/>
        <v>30497.915347912352</v>
      </c>
      <c r="O59" s="37">
        <f t="shared" si="19"/>
        <v>30894.514585251301</v>
      </c>
      <c r="P59" s="37">
        <f t="shared" si="19"/>
        <v>31285.616449560999</v>
      </c>
      <c r="Q59" s="37">
        <f t="shared" si="19"/>
        <v>31662.71465664787</v>
      </c>
      <c r="R59" s="37">
        <f t="shared" si="19"/>
        <v>32023.570345126955</v>
      </c>
      <c r="S59" s="37">
        <f t="shared" si="19"/>
        <v>32325.570793649986</v>
      </c>
      <c r="T59" s="37">
        <f t="shared" si="19"/>
        <v>32602.815312492479</v>
      </c>
      <c r="U59" s="37">
        <f t="shared" si="19"/>
        <v>32852.559475253845</v>
      </c>
      <c r="V59" s="37">
        <f t="shared" si="19"/>
        <v>33067.660896526017</v>
      </c>
      <c r="W59" s="37">
        <f t="shared" si="19"/>
        <v>33241.80430536421</v>
      </c>
      <c r="X59" s="37">
        <f t="shared" si="19"/>
        <v>33377.111334179957</v>
      </c>
      <c r="Y59" s="37">
        <f t="shared" si="19"/>
        <v>33489.407755136555</v>
      </c>
      <c r="Z59" s="37">
        <f t="shared" si="19"/>
        <v>33564.492220793574</v>
      </c>
      <c r="AA59" s="37">
        <f t="shared" si="19"/>
        <v>33597.487248435835</v>
      </c>
      <c r="AB59" s="37">
        <f t="shared" si="19"/>
        <v>33589.277482137164</v>
      </c>
    </row>
    <row r="60" spans="1:28" x14ac:dyDescent="0.25">
      <c r="A60" s="4" t="s">
        <v>217</v>
      </c>
      <c r="B60" s="37">
        <f t="shared" ref="B60:AB60" si="20">B40*B15*$F$6</f>
        <v>47500.587621416038</v>
      </c>
      <c r="C60" s="37">
        <f t="shared" si="20"/>
        <v>48284.05391166795</v>
      </c>
      <c r="D60" s="37">
        <f t="shared" si="20"/>
        <v>48870.266216527787</v>
      </c>
      <c r="E60" s="37">
        <f t="shared" si="20"/>
        <v>49461.590719157284</v>
      </c>
      <c r="F60" s="37">
        <f t="shared" si="20"/>
        <v>50068.140805422685</v>
      </c>
      <c r="G60" s="37">
        <f t="shared" si="20"/>
        <v>50690.061093158991</v>
      </c>
      <c r="H60" s="37">
        <f t="shared" si="20"/>
        <v>51329.151417956491</v>
      </c>
      <c r="I60" s="37">
        <f t="shared" si="20"/>
        <v>51900.120599810711</v>
      </c>
      <c r="J60" s="37">
        <f t="shared" si="20"/>
        <v>52477.094520179577</v>
      </c>
      <c r="K60" s="37">
        <f t="shared" si="20"/>
        <v>53050.82122400462</v>
      </c>
      <c r="L60" s="37">
        <f t="shared" si="20"/>
        <v>53618.602023672174</v>
      </c>
      <c r="M60" s="37">
        <f t="shared" si="20"/>
        <v>54178.496298440543</v>
      </c>
      <c r="N60" s="37">
        <f t="shared" si="20"/>
        <v>54720.864471814166</v>
      </c>
      <c r="O60" s="37">
        <f t="shared" si="20"/>
        <v>55240.538420560835</v>
      </c>
      <c r="P60" s="37">
        <f t="shared" si="20"/>
        <v>55730.71523691465</v>
      </c>
      <c r="Q60" s="37">
        <f t="shared" si="20"/>
        <v>56184.268947841148</v>
      </c>
      <c r="R60" s="37">
        <f t="shared" si="20"/>
        <v>56594.436023794864</v>
      </c>
      <c r="S60" s="37">
        <f t="shared" si="20"/>
        <v>56891.693794295083</v>
      </c>
      <c r="T60" s="37">
        <f t="shared" si="20"/>
        <v>57137.462245739094</v>
      </c>
      <c r="U60" s="37">
        <f t="shared" si="20"/>
        <v>57332.108544232782</v>
      </c>
      <c r="V60" s="37">
        <f t="shared" si="20"/>
        <v>57460.831164515439</v>
      </c>
      <c r="W60" s="37">
        <f t="shared" si="20"/>
        <v>57519.857563435093</v>
      </c>
      <c r="X60" s="37">
        <f t="shared" si="20"/>
        <v>57510.955948567738</v>
      </c>
      <c r="Y60" s="37">
        <f t="shared" si="20"/>
        <v>57463.911949955487</v>
      </c>
      <c r="Z60" s="37">
        <f t="shared" si="20"/>
        <v>57353.30811199623</v>
      </c>
      <c r="AA60" s="37">
        <f t="shared" si="20"/>
        <v>57176.058670881735</v>
      </c>
      <c r="AB60" s="37">
        <f t="shared" si="20"/>
        <v>56937.496289407638</v>
      </c>
    </row>
    <row r="61" spans="1:28" x14ac:dyDescent="0.25">
      <c r="A61" s="4" t="s">
        <v>218</v>
      </c>
      <c r="B61" s="37">
        <f t="shared" ref="B61:AB61" si="21">B41*B15*$F$7</f>
        <v>5762.7636258508355</v>
      </c>
      <c r="C61" s="37">
        <f t="shared" si="21"/>
        <v>5848.3299628203395</v>
      </c>
      <c r="D61" s="37">
        <f t="shared" si="21"/>
        <v>5910.992643481517</v>
      </c>
      <c r="E61" s="37">
        <f t="shared" si="21"/>
        <v>5974.0925716456341</v>
      </c>
      <c r="F61" s="37">
        <f t="shared" si="21"/>
        <v>6039.5873062935398</v>
      </c>
      <c r="G61" s="37">
        <f t="shared" si="21"/>
        <v>6107.6369572853073</v>
      </c>
      <c r="H61" s="37">
        <f t="shared" si="21"/>
        <v>6178.0925444335371</v>
      </c>
      <c r="I61" s="37">
        <f t="shared" si="21"/>
        <v>6241.5732612172678</v>
      </c>
      <c r="J61" s="37">
        <f t="shared" si="21"/>
        <v>6307.1435992270781</v>
      </c>
      <c r="K61" s="37">
        <f t="shared" si="21"/>
        <v>6374.3973934768619</v>
      </c>
      <c r="L61" s="37">
        <f t="shared" si="21"/>
        <v>6443.3427489640726</v>
      </c>
      <c r="M61" s="37">
        <f t="shared" si="21"/>
        <v>6513.6499704139924</v>
      </c>
      <c r="N61" s="37">
        <f t="shared" si="21"/>
        <v>6585.6305058007174</v>
      </c>
      <c r="O61" s="37">
        <f t="shared" si="21"/>
        <v>6657.6222716362145</v>
      </c>
      <c r="P61" s="37">
        <f t="shared" si="21"/>
        <v>6730.3685296743324</v>
      </c>
      <c r="Q61" s="37">
        <f t="shared" si="21"/>
        <v>6802.5112594568664</v>
      </c>
      <c r="R61" s="37">
        <f t="shared" si="21"/>
        <v>6873.9030738653482</v>
      </c>
      <c r="S61" s="37">
        <f t="shared" si="21"/>
        <v>6936.6459794368657</v>
      </c>
      <c r="T61" s="37">
        <f t="shared" si="21"/>
        <v>6997.1716730016833</v>
      </c>
      <c r="U61" s="37">
        <f t="shared" si="21"/>
        <v>7055.6032113969995</v>
      </c>
      <c r="V61" s="37">
        <f t="shared" si="21"/>
        <v>7111.1332063471127</v>
      </c>
      <c r="W61" s="37">
        <f t="shared" si="21"/>
        <v>7162.4643284348822</v>
      </c>
      <c r="X61" s="37">
        <f t="shared" si="21"/>
        <v>7209.1439761343954</v>
      </c>
      <c r="Y61" s="37">
        <f t="shared" si="21"/>
        <v>7253.0171037194477</v>
      </c>
      <c r="Z61" s="37">
        <f t="shared" si="21"/>
        <v>7292.1014697255569</v>
      </c>
      <c r="AA61" s="37">
        <f t="shared" si="21"/>
        <v>7326.362675835323</v>
      </c>
      <c r="AB61" s="37">
        <f t="shared" si="21"/>
        <v>7355.0707120919878</v>
      </c>
    </row>
    <row r="62" spans="1:28" x14ac:dyDescent="0.25">
      <c r="A62" s="4" t="s">
        <v>219</v>
      </c>
      <c r="B62" s="37">
        <f t="shared" ref="B62:AB62" si="22">B42*B15*$F$8</f>
        <v>882.6365121493543</v>
      </c>
      <c r="C62" s="37">
        <f t="shared" si="22"/>
        <v>903.20644390848815</v>
      </c>
      <c r="D62" s="37">
        <f t="shared" si="22"/>
        <v>920.86451995621985</v>
      </c>
      <c r="E62" s="37">
        <f t="shared" si="22"/>
        <v>939.83437650742133</v>
      </c>
      <c r="F62" s="37">
        <f t="shared" si="22"/>
        <v>960.38279059261595</v>
      </c>
      <c r="G62" s="37">
        <f t="shared" si="22"/>
        <v>982.48432432616028</v>
      </c>
      <c r="H62" s="37">
        <f t="shared" si="22"/>
        <v>1006.1992991857436</v>
      </c>
      <c r="I62" s="37">
        <f t="shared" si="22"/>
        <v>1029.9415351316131</v>
      </c>
      <c r="J62" s="37">
        <f t="shared" si="22"/>
        <v>1054.6872520642289</v>
      </c>
      <c r="K62" s="37">
        <f t="shared" si="22"/>
        <v>1080.2195117090926</v>
      </c>
      <c r="L62" s="37">
        <f t="shared" si="22"/>
        <v>1106.808817599484</v>
      </c>
      <c r="M62" s="37">
        <f t="shared" si="22"/>
        <v>1134.2352666026452</v>
      </c>
      <c r="N62" s="37">
        <f t="shared" si="22"/>
        <v>1162.3520000583492</v>
      </c>
      <c r="O62" s="37">
        <f t="shared" si="22"/>
        <v>1190.9535659131893</v>
      </c>
      <c r="P62" s="37">
        <f t="shared" si="22"/>
        <v>1219.9331708882792</v>
      </c>
      <c r="Q62" s="37">
        <f t="shared" si="22"/>
        <v>1249.0604756035566</v>
      </c>
      <c r="R62" s="37">
        <f t="shared" si="22"/>
        <v>1278.2229662881375</v>
      </c>
      <c r="S62" s="37">
        <f t="shared" si="22"/>
        <v>1305.7119281141386</v>
      </c>
      <c r="T62" s="37">
        <f t="shared" si="22"/>
        <v>1332.9748233156108</v>
      </c>
      <c r="U62" s="37">
        <f t="shared" si="22"/>
        <v>1359.7263728354837</v>
      </c>
      <c r="V62" s="37">
        <f t="shared" si="22"/>
        <v>1386.0153134990944</v>
      </c>
      <c r="W62" s="37">
        <f t="shared" si="22"/>
        <v>1411.7519055957387</v>
      </c>
      <c r="X62" s="37">
        <f t="shared" si="22"/>
        <v>1437.0582162724486</v>
      </c>
      <c r="Y62" s="37">
        <f t="shared" si="22"/>
        <v>1461.8411025574469</v>
      </c>
      <c r="Z62" s="37">
        <f t="shared" si="22"/>
        <v>1486.1464465546389</v>
      </c>
      <c r="AA62" s="37">
        <f t="shared" si="22"/>
        <v>1509.9581583100269</v>
      </c>
      <c r="AB62" s="37">
        <f t="shared" si="22"/>
        <v>1533.1671483158534</v>
      </c>
    </row>
    <row r="63" spans="1:28" x14ac:dyDescent="0.25">
      <c r="A63" s="4" t="s">
        <v>220</v>
      </c>
      <c r="B63" s="37">
        <f t="shared" ref="B63:AB63" si="23">B43*B15*$F$9</f>
        <v>966.69583486353065</v>
      </c>
      <c r="C63" s="37">
        <f t="shared" si="23"/>
        <v>987.83973100762375</v>
      </c>
      <c r="D63" s="37">
        <f t="shared" si="23"/>
        <v>1005.9525364585703</v>
      </c>
      <c r="E63" s="37">
        <f t="shared" si="23"/>
        <v>1025.887985783572</v>
      </c>
      <c r="F63" s="37">
        <f t="shared" si="23"/>
        <v>1045.9452011854698</v>
      </c>
      <c r="G63" s="37">
        <f t="shared" si="23"/>
        <v>1067.6156230436702</v>
      </c>
      <c r="H63" s="37">
        <f t="shared" si="23"/>
        <v>1089.9251848720414</v>
      </c>
      <c r="I63" s="37">
        <f t="shared" si="23"/>
        <v>1110.9470029230665</v>
      </c>
      <c r="J63" s="37">
        <f t="shared" si="23"/>
        <v>1132.3833040603085</v>
      </c>
      <c r="K63" s="37">
        <f t="shared" si="23"/>
        <v>1155.4471926207373</v>
      </c>
      <c r="L63" s="37">
        <f t="shared" si="23"/>
        <v>1179.019309881287</v>
      </c>
      <c r="M63" s="37">
        <f t="shared" si="23"/>
        <v>1203.4546369109974</v>
      </c>
      <c r="N63" s="37">
        <f t="shared" si="23"/>
        <v>1228.2191593131502</v>
      </c>
      <c r="O63" s="37">
        <f t="shared" si="23"/>
        <v>1253.4067246262034</v>
      </c>
      <c r="P63" s="37">
        <f t="shared" si="23"/>
        <v>1279.3415799113754</v>
      </c>
      <c r="Q63" s="37">
        <f t="shared" si="23"/>
        <v>1305.8500962840858</v>
      </c>
      <c r="R63" s="37">
        <f t="shared" si="23"/>
        <v>1332.678439000555</v>
      </c>
      <c r="S63" s="37">
        <f t="shared" si="23"/>
        <v>1357.8719065505986</v>
      </c>
      <c r="T63" s="37">
        <f t="shared" si="23"/>
        <v>1383.2907555692852</v>
      </c>
      <c r="U63" s="37">
        <f t="shared" si="23"/>
        <v>1408.5700210304824</v>
      </c>
      <c r="V63" s="37">
        <f t="shared" si="23"/>
        <v>1433.304778344683</v>
      </c>
      <c r="W63" s="37">
        <f t="shared" si="23"/>
        <v>1458.3711895569825</v>
      </c>
      <c r="X63" s="37">
        <f t="shared" si="23"/>
        <v>1483.0638384363845</v>
      </c>
      <c r="Y63" s="37">
        <f t="shared" si="23"/>
        <v>1507.8043573529276</v>
      </c>
      <c r="Z63" s="37">
        <f t="shared" si="23"/>
        <v>1532.0124400140842</v>
      </c>
      <c r="AA63" s="37">
        <f t="shared" si="23"/>
        <v>1555.9148638740494</v>
      </c>
      <c r="AB63" s="37">
        <f t="shared" si="23"/>
        <v>1579.7469469623832</v>
      </c>
    </row>
    <row r="64" spans="1:28" x14ac:dyDescent="0.25">
      <c r="A64" s="4" t="s">
        <v>221</v>
      </c>
      <c r="B64" s="37">
        <f t="shared" ref="B64:AB64" si="24">B44*B15*$F$10</f>
        <v>1334.335264144813</v>
      </c>
      <c r="C64" s="37">
        <f t="shared" si="24"/>
        <v>1381.0648831688011</v>
      </c>
      <c r="D64" s="37">
        <f t="shared" si="24"/>
        <v>1423.214938781628</v>
      </c>
      <c r="E64" s="37">
        <f t="shared" si="24"/>
        <v>1466.3037924405855</v>
      </c>
      <c r="F64" s="37">
        <f t="shared" si="24"/>
        <v>1510.3471269884344</v>
      </c>
      <c r="G64" s="37">
        <f t="shared" si="24"/>
        <v>1555.5284917233807</v>
      </c>
      <c r="H64" s="37">
        <f t="shared" si="24"/>
        <v>1602.3534677308123</v>
      </c>
      <c r="I64" s="37">
        <f t="shared" si="24"/>
        <v>1648.2867395159826</v>
      </c>
      <c r="J64" s="37">
        <f t="shared" si="24"/>
        <v>1695.2992775092459</v>
      </c>
      <c r="K64" s="37">
        <f t="shared" si="24"/>
        <v>1743.7743164559001</v>
      </c>
      <c r="L64" s="37">
        <f t="shared" si="24"/>
        <v>1793.998317148993</v>
      </c>
      <c r="M64" s="37">
        <f t="shared" si="24"/>
        <v>1845.5221858958848</v>
      </c>
      <c r="N64" s="37">
        <f t="shared" si="24"/>
        <v>1898.8170355323709</v>
      </c>
      <c r="O64" s="37">
        <f t="shared" si="24"/>
        <v>1953.5566128521971</v>
      </c>
      <c r="P64" s="37">
        <f t="shared" si="24"/>
        <v>2009.6469158780374</v>
      </c>
      <c r="Q64" s="37">
        <f t="shared" si="24"/>
        <v>2067.1691934300493</v>
      </c>
      <c r="R64" s="37">
        <f t="shared" si="24"/>
        <v>2125.699889646402</v>
      </c>
      <c r="S64" s="37">
        <f t="shared" si="24"/>
        <v>2182.7321696060185</v>
      </c>
      <c r="T64" s="37">
        <f t="shared" si="24"/>
        <v>2240.5721603956422</v>
      </c>
      <c r="U64" s="37">
        <f t="shared" si="24"/>
        <v>2299.062698446553</v>
      </c>
      <c r="V64" s="37">
        <f t="shared" si="24"/>
        <v>2357.8915359379725</v>
      </c>
      <c r="W64" s="37">
        <f t="shared" si="24"/>
        <v>2416.7298886478147</v>
      </c>
      <c r="X64" s="37">
        <f t="shared" si="24"/>
        <v>2475.8672497963348</v>
      </c>
      <c r="Y64" s="37">
        <f t="shared" si="24"/>
        <v>2534.8018396863308</v>
      </c>
      <c r="Z64" s="37">
        <f t="shared" si="24"/>
        <v>2593.4977617997365</v>
      </c>
      <c r="AA64" s="37">
        <f t="shared" si="24"/>
        <v>2651.3723405995929</v>
      </c>
      <c r="AB64" s="37">
        <f t="shared" si="24"/>
        <v>2708.3553866140824</v>
      </c>
    </row>
    <row r="65" spans="1:28" x14ac:dyDescent="0.25">
      <c r="A65" s="4" t="s">
        <v>222</v>
      </c>
      <c r="B65" s="37">
        <f t="shared" ref="B65:AB65" si="25">B45*B15*$F$11</f>
        <v>57547.18897145232</v>
      </c>
      <c r="C65" s="37">
        <f t="shared" si="25"/>
        <v>58408.479023954933</v>
      </c>
      <c r="D65" s="37">
        <f t="shared" si="25"/>
        <v>59032.021206257399</v>
      </c>
      <c r="E65" s="37">
        <f t="shared" si="25"/>
        <v>59664.508594729261</v>
      </c>
      <c r="F65" s="37">
        <f t="shared" si="25"/>
        <v>60317.650197319905</v>
      </c>
      <c r="G65" s="37">
        <f t="shared" si="25"/>
        <v>60993.242068864507</v>
      </c>
      <c r="H65" s="37">
        <f t="shared" si="25"/>
        <v>61689.665204520963</v>
      </c>
      <c r="I65" s="37">
        <f t="shared" si="25"/>
        <v>62305.185765241993</v>
      </c>
      <c r="J65" s="37">
        <f t="shared" si="25"/>
        <v>62929.245899675152</v>
      </c>
      <c r="K65" s="37">
        <f t="shared" si="25"/>
        <v>63550.96819981491</v>
      </c>
      <c r="L65" s="37">
        <f t="shared" si="25"/>
        <v>64165.423389813426</v>
      </c>
      <c r="M65" s="37">
        <f t="shared" si="25"/>
        <v>64771.783018295995</v>
      </c>
      <c r="N65" s="37">
        <f t="shared" si="25"/>
        <v>65356.953202972458</v>
      </c>
      <c r="O65" s="37">
        <f t="shared" si="25"/>
        <v>65913.968824384414</v>
      </c>
      <c r="P65" s="37">
        <f t="shared" si="25"/>
        <v>66437.090340169496</v>
      </c>
      <c r="Q65" s="37">
        <f t="shared" si="25"/>
        <v>66915.525565804419</v>
      </c>
      <c r="R65" s="37">
        <f t="shared" si="25"/>
        <v>67342.81683898966</v>
      </c>
      <c r="S65" s="37">
        <f t="shared" si="25"/>
        <v>67635.663066884081</v>
      </c>
      <c r="T65" s="37">
        <f t="shared" si="25"/>
        <v>67866.552790498768</v>
      </c>
      <c r="U65" s="37">
        <f t="shared" si="25"/>
        <v>68035.282448573387</v>
      </c>
      <c r="V65" s="37">
        <f t="shared" si="25"/>
        <v>68125.663791625877</v>
      </c>
      <c r="W65" s="37">
        <f t="shared" si="25"/>
        <v>68134.265191852974</v>
      </c>
      <c r="X65" s="37">
        <f t="shared" si="25"/>
        <v>68060.490612861176</v>
      </c>
      <c r="Y65" s="37">
        <f t="shared" si="25"/>
        <v>67941.248585696783</v>
      </c>
      <c r="Z65" s="37">
        <f t="shared" si="25"/>
        <v>67745.945967789288</v>
      </c>
      <c r="AA65" s="37">
        <f t="shared" si="25"/>
        <v>67473.891749487826</v>
      </c>
      <c r="AB65" s="37">
        <f t="shared" si="25"/>
        <v>67130.128856635754</v>
      </c>
    </row>
    <row r="67" spans="1:28" x14ac:dyDescent="0.25">
      <c r="A67" s="4" t="s">
        <v>328</v>
      </c>
    </row>
    <row r="68" spans="1:28" x14ac:dyDescent="0.25">
      <c r="A68" s="4" t="s">
        <v>329</v>
      </c>
      <c r="B68" s="40">
        <f t="shared" ref="B68:AB68" si="26">B48+B49</f>
        <v>313.67681139131571</v>
      </c>
      <c r="C68" s="40">
        <f t="shared" si="26"/>
        <v>311.52847198477843</v>
      </c>
      <c r="D68" s="40">
        <f t="shared" si="26"/>
        <v>308.18061186173765</v>
      </c>
      <c r="E68" s="40">
        <f t="shared" si="26"/>
        <v>304.87733999072697</v>
      </c>
      <c r="F68" s="40">
        <f t="shared" si="26"/>
        <v>301.56539795284868</v>
      </c>
      <c r="G68" s="40">
        <f t="shared" si="26"/>
        <v>298.2820990914006</v>
      </c>
      <c r="H68" s="40">
        <f t="shared" si="26"/>
        <v>295.01087593041257</v>
      </c>
      <c r="I68" s="40">
        <f t="shared" si="26"/>
        <v>291.32069143452895</v>
      </c>
      <c r="J68" s="40">
        <f t="shared" si="26"/>
        <v>287.64106615844776</v>
      </c>
      <c r="K68" s="40">
        <f t="shared" si="26"/>
        <v>283.94205062734977</v>
      </c>
      <c r="L68" s="40">
        <f t="shared" si="26"/>
        <v>280.24319920889627</v>
      </c>
      <c r="M68" s="40">
        <f t="shared" si="26"/>
        <v>276.5252438916458</v>
      </c>
      <c r="N68" s="40">
        <f t="shared" si="26"/>
        <v>272.8233793667639</v>
      </c>
      <c r="O68" s="40">
        <f t="shared" si="26"/>
        <v>269.06833371279515</v>
      </c>
      <c r="P68" s="40">
        <f t="shared" si="26"/>
        <v>265.25717460654482</v>
      </c>
      <c r="Q68" s="40">
        <f t="shared" si="26"/>
        <v>261.4433535507643</v>
      </c>
      <c r="R68" s="40">
        <f t="shared" si="26"/>
        <v>257.5890407303142</v>
      </c>
      <c r="S68" s="40">
        <f t="shared" si="26"/>
        <v>253.45524989144747</v>
      </c>
      <c r="T68" s="40">
        <f t="shared" si="26"/>
        <v>249.35432576745126</v>
      </c>
      <c r="U68" s="40">
        <f t="shared" si="26"/>
        <v>245.31734886059473</v>
      </c>
      <c r="V68" s="40">
        <f t="shared" si="26"/>
        <v>241.37417366910756</v>
      </c>
      <c r="W68" s="40">
        <f t="shared" si="26"/>
        <v>237.51937990616244</v>
      </c>
      <c r="X68" s="40">
        <f t="shared" si="26"/>
        <v>233.83236153306535</v>
      </c>
      <c r="Y68" s="40">
        <f t="shared" si="26"/>
        <v>230.25863045561499</v>
      </c>
      <c r="Z68" s="40">
        <f t="shared" si="26"/>
        <v>226.79251012984864</v>
      </c>
      <c r="AA68" s="40">
        <f t="shared" si="26"/>
        <v>223.4300120649348</v>
      </c>
      <c r="AB68" s="40">
        <f t="shared" si="26"/>
        <v>220.20068920298939</v>
      </c>
    </row>
    <row r="69" spans="1:28" x14ac:dyDescent="0.25">
      <c r="A69" s="4" t="s">
        <v>330</v>
      </c>
      <c r="B69" s="40">
        <f t="shared" ref="B69:AB69" si="27">B50+B51+B52+B53</f>
        <v>302.4524727265719</v>
      </c>
      <c r="C69" s="40">
        <f t="shared" si="27"/>
        <v>300.27069669408883</v>
      </c>
      <c r="D69" s="40">
        <f t="shared" si="27"/>
        <v>296.94384276947392</v>
      </c>
      <c r="E69" s="40">
        <f t="shared" si="27"/>
        <v>293.6426063137672</v>
      </c>
      <c r="F69" s="40">
        <f t="shared" si="27"/>
        <v>290.3387895948311</v>
      </c>
      <c r="G69" s="40">
        <f t="shared" si="27"/>
        <v>287.0699641472583</v>
      </c>
      <c r="H69" s="40">
        <f t="shared" si="27"/>
        <v>283.79626639910413</v>
      </c>
      <c r="I69" s="40">
        <f t="shared" si="27"/>
        <v>280.13506060759539</v>
      </c>
      <c r="J69" s="40">
        <f t="shared" si="27"/>
        <v>276.46915894982482</v>
      </c>
      <c r="K69" s="40">
        <f t="shared" si="27"/>
        <v>272.76634687776567</v>
      </c>
      <c r="L69" s="40">
        <f t="shared" si="27"/>
        <v>269.06607779394039</v>
      </c>
      <c r="M69" s="40">
        <f t="shared" si="27"/>
        <v>265.34187383267493</v>
      </c>
      <c r="N69" s="40">
        <f t="shared" si="27"/>
        <v>261.61681504268324</v>
      </c>
      <c r="O69" s="40">
        <f t="shared" si="27"/>
        <v>257.82299179206359</v>
      </c>
      <c r="P69" s="40">
        <f t="shared" si="27"/>
        <v>253.98485386151364</v>
      </c>
      <c r="Q69" s="40">
        <f t="shared" si="27"/>
        <v>250.12596111652655</v>
      </c>
      <c r="R69" s="40">
        <f t="shared" si="27"/>
        <v>246.23636683048744</v>
      </c>
      <c r="S69" s="40">
        <f t="shared" si="27"/>
        <v>242.06710657638922</v>
      </c>
      <c r="T69" s="40">
        <f t="shared" si="27"/>
        <v>237.93209136548731</v>
      </c>
      <c r="U69" s="40">
        <f t="shared" si="27"/>
        <v>233.87332293073908</v>
      </c>
      <c r="V69" s="40">
        <f t="shared" si="27"/>
        <v>229.90098438716106</v>
      </c>
      <c r="W69" s="40">
        <f t="shared" si="27"/>
        <v>226.02328920055041</v>
      </c>
      <c r="X69" s="40">
        <f t="shared" si="27"/>
        <v>222.31763516575137</v>
      </c>
      <c r="Y69" s="40">
        <f t="shared" si="27"/>
        <v>218.71071715374131</v>
      </c>
      <c r="Z69" s="40">
        <f t="shared" si="27"/>
        <v>215.22548060310467</v>
      </c>
      <c r="AA69" s="40">
        <f t="shared" si="27"/>
        <v>211.85747065698317</v>
      </c>
      <c r="AB69" s="40">
        <f t="shared" si="27"/>
        <v>208.61521847991855</v>
      </c>
    </row>
    <row r="70" spans="1:28" x14ac:dyDescent="0.25">
      <c r="A70" s="4" t="s">
        <v>331</v>
      </c>
      <c r="B70" s="40">
        <f t="shared" ref="B70:AB70" si="28">B54+B55</f>
        <v>304.99067281451795</v>
      </c>
      <c r="C70" s="40">
        <f t="shared" si="28"/>
        <v>302.21990870000002</v>
      </c>
      <c r="D70" s="40">
        <f t="shared" si="28"/>
        <v>298.25186799043519</v>
      </c>
      <c r="E70" s="40">
        <f t="shared" si="28"/>
        <v>294.31279733998679</v>
      </c>
      <c r="F70" s="40">
        <f t="shared" si="28"/>
        <v>290.30722111629132</v>
      </c>
      <c r="G70" s="40">
        <f t="shared" si="28"/>
        <v>286.39209094149066</v>
      </c>
      <c r="H70" s="40">
        <f t="shared" si="28"/>
        <v>282.49837545233805</v>
      </c>
      <c r="I70" s="40">
        <f t="shared" si="28"/>
        <v>278.21870334827975</v>
      </c>
      <c r="J70" s="40">
        <f t="shared" si="28"/>
        <v>273.97164501833561</v>
      </c>
      <c r="K70" s="40">
        <f t="shared" si="28"/>
        <v>269.72549936950423</v>
      </c>
      <c r="L70" s="40">
        <f t="shared" si="28"/>
        <v>265.51684563378973</v>
      </c>
      <c r="M70" s="40">
        <f t="shared" si="28"/>
        <v>261.32388866841359</v>
      </c>
      <c r="N70" s="40">
        <f t="shared" si="28"/>
        <v>257.18725464876115</v>
      </c>
      <c r="O70" s="40">
        <f t="shared" si="28"/>
        <v>253.02265533482603</v>
      </c>
      <c r="P70" s="40">
        <f t="shared" si="28"/>
        <v>248.87595335352535</v>
      </c>
      <c r="Q70" s="40">
        <f t="shared" si="28"/>
        <v>244.76035196210202</v>
      </c>
      <c r="R70" s="40">
        <f t="shared" si="28"/>
        <v>240.67892746275223</v>
      </c>
      <c r="S70" s="40">
        <f t="shared" si="28"/>
        <v>236.32741664607065</v>
      </c>
      <c r="T70" s="40">
        <f t="shared" si="28"/>
        <v>232.06397879997564</v>
      </c>
      <c r="U70" s="40">
        <f t="shared" si="28"/>
        <v>227.92483981425207</v>
      </c>
      <c r="V70" s="40">
        <f t="shared" si="28"/>
        <v>223.88419422011143</v>
      </c>
      <c r="W70" s="40">
        <f t="shared" si="28"/>
        <v>220.01265659216673</v>
      </c>
      <c r="X70" s="40">
        <f t="shared" si="28"/>
        <v>216.25347185011429</v>
      </c>
      <c r="Y70" s="40">
        <f t="shared" si="28"/>
        <v>212.63322374403538</v>
      </c>
      <c r="Z70" s="40">
        <f t="shared" si="28"/>
        <v>209.13201052882127</v>
      </c>
      <c r="AA70" s="40">
        <f t="shared" si="28"/>
        <v>205.73034724259838</v>
      </c>
      <c r="AB70" s="40">
        <f t="shared" si="28"/>
        <v>202.44864918496773</v>
      </c>
    </row>
    <row r="71" spans="1:28" x14ac:dyDescent="0.25">
      <c r="A71" s="4" t="s">
        <v>332</v>
      </c>
      <c r="B71" s="40">
        <f t="shared" ref="B71:AB71" si="29">B58+B59</f>
        <v>53700.907415610462</v>
      </c>
      <c r="C71" s="40">
        <f t="shared" si="29"/>
        <v>54597.327575241252</v>
      </c>
      <c r="D71" s="40">
        <f t="shared" si="29"/>
        <v>55275.147013924099</v>
      </c>
      <c r="E71" s="40">
        <f t="shared" si="29"/>
        <v>55963.928770056722</v>
      </c>
      <c r="F71" s="40">
        <f t="shared" si="29"/>
        <v>56673.735917878745</v>
      </c>
      <c r="G71" s="40">
        <f t="shared" si="29"/>
        <v>57406.740211261327</v>
      </c>
      <c r="H71" s="40">
        <f t="shared" si="29"/>
        <v>58163.341050703406</v>
      </c>
      <c r="I71" s="40">
        <f t="shared" si="29"/>
        <v>58847.986170852186</v>
      </c>
      <c r="J71" s="40">
        <f t="shared" si="29"/>
        <v>59543.7921065267</v>
      </c>
      <c r="K71" s="40">
        <f t="shared" si="29"/>
        <v>60242.781960919914</v>
      </c>
      <c r="L71" s="40">
        <f t="shared" si="29"/>
        <v>60941.757817116762</v>
      </c>
      <c r="M71" s="40">
        <f t="shared" si="29"/>
        <v>61638.444192415496</v>
      </c>
      <c r="N71" s="40">
        <f t="shared" si="29"/>
        <v>62323.298261499731</v>
      </c>
      <c r="O71" s="40">
        <f t="shared" si="29"/>
        <v>62989.221918256771</v>
      </c>
      <c r="P71" s="40">
        <f t="shared" si="29"/>
        <v>63631.007533831056</v>
      </c>
      <c r="Q71" s="40">
        <f t="shared" si="29"/>
        <v>64239.696131421071</v>
      </c>
      <c r="R71" s="40">
        <f t="shared" si="29"/>
        <v>64808.320881594816</v>
      </c>
      <c r="S71" s="40">
        <f t="shared" si="29"/>
        <v>65257.110690927686</v>
      </c>
      <c r="T71" s="40">
        <f t="shared" si="29"/>
        <v>65655.884603579208</v>
      </c>
      <c r="U71" s="40">
        <f t="shared" si="29"/>
        <v>66003.899197353923</v>
      </c>
      <c r="V71" s="40">
        <f t="shared" si="29"/>
        <v>66286.268659180394</v>
      </c>
      <c r="W71" s="40">
        <f t="shared" si="29"/>
        <v>66498.881797782873</v>
      </c>
      <c r="X71" s="40">
        <f t="shared" si="29"/>
        <v>66642.255433687678</v>
      </c>
      <c r="Y71" s="40">
        <f t="shared" si="29"/>
        <v>66746.124088646844</v>
      </c>
      <c r="Z71" s="40">
        <f t="shared" si="29"/>
        <v>66784.26696654479</v>
      </c>
      <c r="AA71" s="40">
        <f t="shared" si="29"/>
        <v>66754.033698062092</v>
      </c>
      <c r="AB71" s="40">
        <f t="shared" si="29"/>
        <v>66659.468869648888</v>
      </c>
    </row>
    <row r="72" spans="1:28" x14ac:dyDescent="0.25">
      <c r="A72" s="4" t="s">
        <v>333</v>
      </c>
      <c r="B72" s="40">
        <f t="shared" ref="B72:AB72" si="30">B60+B61+B62+B63</f>
        <v>55112.683594279755</v>
      </c>
      <c r="C72" s="40">
        <f t="shared" si="30"/>
        <v>56023.4300494044</v>
      </c>
      <c r="D72" s="40">
        <f t="shared" si="30"/>
        <v>56708.075916424095</v>
      </c>
      <c r="E72" s="40">
        <f t="shared" si="30"/>
        <v>57401.405653093912</v>
      </c>
      <c r="F72" s="40">
        <f t="shared" si="30"/>
        <v>58114.056103494309</v>
      </c>
      <c r="G72" s="40">
        <f t="shared" si="30"/>
        <v>58847.79799781413</v>
      </c>
      <c r="H72" s="40">
        <f t="shared" si="30"/>
        <v>59603.368446447814</v>
      </c>
      <c r="I72" s="40">
        <f t="shared" si="30"/>
        <v>60282.582399082654</v>
      </c>
      <c r="J72" s="40">
        <f t="shared" si="30"/>
        <v>60971.308675531189</v>
      </c>
      <c r="K72" s="40">
        <f t="shared" si="30"/>
        <v>61660.885321811322</v>
      </c>
      <c r="L72" s="40">
        <f t="shared" si="30"/>
        <v>62347.772900117023</v>
      </c>
      <c r="M72" s="40">
        <f t="shared" si="30"/>
        <v>63029.836172368174</v>
      </c>
      <c r="N72" s="40">
        <f t="shared" si="30"/>
        <v>63697.066136986388</v>
      </c>
      <c r="O72" s="40">
        <f t="shared" si="30"/>
        <v>64342.520982736445</v>
      </c>
      <c r="P72" s="40">
        <f t="shared" si="30"/>
        <v>64960.358517388639</v>
      </c>
      <c r="Q72" s="40">
        <f t="shared" si="30"/>
        <v>65541.69077918565</v>
      </c>
      <c r="R72" s="40">
        <f t="shared" si="30"/>
        <v>66079.240502948902</v>
      </c>
      <c r="S72" s="40">
        <f t="shared" si="30"/>
        <v>66491.923608396683</v>
      </c>
      <c r="T72" s="40">
        <f t="shared" si="30"/>
        <v>66850.89949762568</v>
      </c>
      <c r="U72" s="40">
        <f t="shared" si="30"/>
        <v>67156.008149495741</v>
      </c>
      <c r="V72" s="40">
        <f t="shared" si="30"/>
        <v>67391.284462706331</v>
      </c>
      <c r="W72" s="40">
        <f t="shared" si="30"/>
        <v>67552.444987022696</v>
      </c>
      <c r="X72" s="40">
        <f t="shared" si="30"/>
        <v>67640.22197941097</v>
      </c>
      <c r="Y72" s="40">
        <f t="shared" si="30"/>
        <v>67686.574513585307</v>
      </c>
      <c r="Z72" s="40">
        <f t="shared" si="30"/>
        <v>67663.568468290512</v>
      </c>
      <c r="AA72" s="40">
        <f t="shared" si="30"/>
        <v>67568.29436890113</v>
      </c>
      <c r="AB72" s="40">
        <f t="shared" si="30"/>
        <v>67405.481096777876</v>
      </c>
    </row>
    <row r="73" spans="1:28" x14ac:dyDescent="0.25">
      <c r="A73" s="4" t="s">
        <v>334</v>
      </c>
      <c r="B73" s="40">
        <f t="shared" ref="B73:AB73" si="31">B64+B65</f>
        <v>58881.524235597135</v>
      </c>
      <c r="C73" s="40">
        <f t="shared" si="31"/>
        <v>59789.543907123734</v>
      </c>
      <c r="D73" s="40">
        <f t="shared" si="31"/>
        <v>60455.236145039031</v>
      </c>
      <c r="E73" s="40">
        <f t="shared" si="31"/>
        <v>61130.812387169848</v>
      </c>
      <c r="F73" s="40">
        <f t="shared" si="31"/>
        <v>61827.997324308337</v>
      </c>
      <c r="G73" s="40">
        <f t="shared" si="31"/>
        <v>62548.770560587887</v>
      </c>
      <c r="H73" s="40">
        <f t="shared" si="31"/>
        <v>63292.018672251776</v>
      </c>
      <c r="I73" s="40">
        <f t="shared" si="31"/>
        <v>63953.472504757978</v>
      </c>
      <c r="J73" s="40">
        <f t="shared" si="31"/>
        <v>64624.545177184395</v>
      </c>
      <c r="K73" s="40">
        <f t="shared" si="31"/>
        <v>65294.74251627081</v>
      </c>
      <c r="L73" s="40">
        <f t="shared" si="31"/>
        <v>65959.421706962414</v>
      </c>
      <c r="M73" s="40">
        <f t="shared" si="31"/>
        <v>66617.305204191885</v>
      </c>
      <c r="N73" s="40">
        <f t="shared" si="31"/>
        <v>67255.770238504832</v>
      </c>
      <c r="O73" s="40">
        <f t="shared" si="31"/>
        <v>67867.525437236618</v>
      </c>
      <c r="P73" s="40">
        <f t="shared" si="31"/>
        <v>68446.737256047534</v>
      </c>
      <c r="Q73" s="40">
        <f t="shared" si="31"/>
        <v>68982.694759234466</v>
      </c>
      <c r="R73" s="40">
        <f t="shared" si="31"/>
        <v>69468.516728636067</v>
      </c>
      <c r="S73" s="40">
        <f t="shared" si="31"/>
        <v>69818.395236490105</v>
      </c>
      <c r="T73" s="40">
        <f t="shared" si="31"/>
        <v>70107.124950894417</v>
      </c>
      <c r="U73" s="40">
        <f t="shared" si="31"/>
        <v>70334.345147019936</v>
      </c>
      <c r="V73" s="40">
        <f t="shared" si="31"/>
        <v>70483.555327563852</v>
      </c>
      <c r="W73" s="40">
        <f t="shared" si="31"/>
        <v>70550.995080500783</v>
      </c>
      <c r="X73" s="40">
        <f t="shared" si="31"/>
        <v>70536.357862657518</v>
      </c>
      <c r="Y73" s="40">
        <f t="shared" si="31"/>
        <v>70476.050425383117</v>
      </c>
      <c r="Z73" s="40">
        <f t="shared" si="31"/>
        <v>70339.443729589024</v>
      </c>
      <c r="AA73" s="40">
        <f t="shared" si="31"/>
        <v>70125.264090087425</v>
      </c>
      <c r="AB73" s="40">
        <f t="shared" si="31"/>
        <v>69838.484243249841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173.75925020311433</v>
      </c>
      <c r="C2" s="37">
        <f>BDbDT_calcs!C48</f>
        <v>172.40796849692998</v>
      </c>
      <c r="D2" s="37">
        <f>BDbDT_calcs!D48</f>
        <v>170.38532685177475</v>
      </c>
      <c r="E2" s="37">
        <f>BDbDT_calcs!E48</f>
        <v>168.39892765471023</v>
      </c>
      <c r="F2" s="37">
        <f>BDbDT_calcs!F48</f>
        <v>166.41300174402494</v>
      </c>
      <c r="G2" s="37">
        <f>BDbDT_calcs!G48</f>
        <v>164.4277593619226</v>
      </c>
      <c r="H2" s="37">
        <f>BDbDT_calcs!H48</f>
        <v>162.44424276147393</v>
      </c>
      <c r="I2" s="37">
        <f>BDbDT_calcs!I48</f>
        <v>160.30596174308073</v>
      </c>
      <c r="J2" s="37">
        <f>BDbDT_calcs!J48</f>
        <v>158.08811631518736</v>
      </c>
      <c r="K2" s="37">
        <f>BDbDT_calcs!K48</f>
        <v>155.92892734805483</v>
      </c>
      <c r="L2" s="37">
        <f>BDbDT_calcs!L48</f>
        <v>153.70312831626933</v>
      </c>
      <c r="M2" s="37">
        <f>BDbDT_calcs!M48</f>
        <v>151.53538054590885</v>
      </c>
      <c r="N2" s="37">
        <f>BDbDT_calcs!N48</f>
        <v>149.44226891139243</v>
      </c>
      <c r="O2" s="37">
        <f>BDbDT_calcs!O48</f>
        <v>147.17660398320464</v>
      </c>
      <c r="P2" s="37">
        <f>BDbDT_calcs!P48</f>
        <v>145.00232683121408</v>
      </c>
      <c r="Q2" s="37">
        <f>BDbDT_calcs!Q48</f>
        <v>142.76055307452006</v>
      </c>
      <c r="R2" s="37">
        <f>BDbDT_calcs!R48</f>
        <v>140.53780927330669</v>
      </c>
      <c r="S2" s="37">
        <f>BDbDT_calcs!S48</f>
        <v>138.13992246371004</v>
      </c>
      <c r="T2" s="37">
        <f>BDbDT_calcs!T48</f>
        <v>135.7801642158239</v>
      </c>
      <c r="U2" s="37">
        <f>BDbDT_calcs!U48</f>
        <v>133.45627997393368</v>
      </c>
      <c r="V2" s="37">
        <f>BDbDT_calcs!V48</f>
        <v>131.16567040759094</v>
      </c>
      <c r="W2" s="37">
        <f>BDbDT_calcs!W48</f>
        <v>128.92267368437575</v>
      </c>
      <c r="X2" s="37">
        <f>BDbDT_calcs!X48</f>
        <v>126.84323892063347</v>
      </c>
      <c r="Y2" s="37">
        <f>BDbDT_calcs!Y48</f>
        <v>124.78880945269152</v>
      </c>
      <c r="Z2" s="37">
        <f>BDbDT_calcs!Z48</f>
        <v>122.84134125736091</v>
      </c>
      <c r="AA2" s="37">
        <f>BDbDT_calcs!AA48</f>
        <v>120.93065124146987</v>
      </c>
      <c r="AB2" s="37">
        <f>BDbDT_calcs!AB48</f>
        <v>119.03783184277904</v>
      </c>
    </row>
    <row r="3" spans="1:28" x14ac:dyDescent="0.25">
      <c r="A3" s="4" t="s">
        <v>216</v>
      </c>
      <c r="B3" s="37">
        <f>BDbDT_calcs!B49</f>
        <v>139.9175611882014</v>
      </c>
      <c r="C3" s="37">
        <f>BDbDT_calcs!C49</f>
        <v>139.12050348784848</v>
      </c>
      <c r="D3" s="37">
        <f>BDbDT_calcs!D49</f>
        <v>137.7952850099629</v>
      </c>
      <c r="E3" s="37">
        <f>BDbDT_calcs!E49</f>
        <v>136.47841233601673</v>
      </c>
      <c r="F3" s="37">
        <f>BDbDT_calcs!F49</f>
        <v>135.15239620882377</v>
      </c>
      <c r="G3" s="37">
        <f>BDbDT_calcs!G49</f>
        <v>133.85433972947797</v>
      </c>
      <c r="H3" s="37">
        <f>BDbDT_calcs!H49</f>
        <v>132.56663316893861</v>
      </c>
      <c r="I3" s="37">
        <f>BDbDT_calcs!I49</f>
        <v>131.01472969144825</v>
      </c>
      <c r="J3" s="37">
        <f>BDbDT_calcs!J49</f>
        <v>129.55294984326039</v>
      </c>
      <c r="K3" s="37">
        <f>BDbDT_calcs!K49</f>
        <v>128.01312327929492</v>
      </c>
      <c r="L3" s="37">
        <f>BDbDT_calcs!L49</f>
        <v>126.54007089262696</v>
      </c>
      <c r="M3" s="37">
        <f>BDbDT_calcs!M49</f>
        <v>124.98986334573695</v>
      </c>
      <c r="N3" s="37">
        <f>BDbDT_calcs!N49</f>
        <v>123.38111045537146</v>
      </c>
      <c r="O3" s="37">
        <f>BDbDT_calcs!O49</f>
        <v>121.89172972959048</v>
      </c>
      <c r="P3" s="37">
        <f>BDbDT_calcs!P49</f>
        <v>120.25484777533073</v>
      </c>
      <c r="Q3" s="37">
        <f>BDbDT_calcs!Q49</f>
        <v>118.68280047624427</v>
      </c>
      <c r="R3" s="37">
        <f>BDbDT_calcs!R49</f>
        <v>117.0512314570075</v>
      </c>
      <c r="S3" s="37">
        <f>BDbDT_calcs!S49</f>
        <v>115.31532742773744</v>
      </c>
      <c r="T3" s="37">
        <f>BDbDT_calcs!T49</f>
        <v>113.57416155162734</v>
      </c>
      <c r="U3" s="37">
        <f>BDbDT_calcs!U49</f>
        <v>111.86106888666107</v>
      </c>
      <c r="V3" s="37">
        <f>BDbDT_calcs!V49</f>
        <v>110.20850326151664</v>
      </c>
      <c r="W3" s="37">
        <f>BDbDT_calcs!W49</f>
        <v>108.5967062217867</v>
      </c>
      <c r="X3" s="37">
        <f>BDbDT_calcs!X49</f>
        <v>106.98912261243188</v>
      </c>
      <c r="Y3" s="37">
        <f>BDbDT_calcs!Y49</f>
        <v>105.46982100292345</v>
      </c>
      <c r="Z3" s="37">
        <f>BDbDT_calcs!Z49</f>
        <v>103.95116887248773</v>
      </c>
      <c r="AA3" s="37">
        <f>BDbDT_calcs!AA49</f>
        <v>102.49936082346493</v>
      </c>
      <c r="AB3" s="37">
        <f>BDbDT_calcs!AB49</f>
        <v>101.16285736021037</v>
      </c>
    </row>
    <row r="4" spans="1:28" x14ac:dyDescent="0.25">
      <c r="A4" s="4" t="s">
        <v>217</v>
      </c>
      <c r="B4" s="37">
        <f>BDbDT_calcs!B50</f>
        <v>199.75240775423291</v>
      </c>
      <c r="C4" s="37">
        <f>BDbDT_calcs!C50</f>
        <v>198.3888506672379</v>
      </c>
      <c r="D4" s="37">
        <f>BDbDT_calcs!D50</f>
        <v>196.29327393544463</v>
      </c>
      <c r="E4" s="37">
        <f>BDbDT_calcs!E50</f>
        <v>194.19738930919746</v>
      </c>
      <c r="F4" s="37">
        <f>BDbDT_calcs!F50</f>
        <v>192.12260845126158</v>
      </c>
      <c r="G4" s="37">
        <f>BDbDT_calcs!G50</f>
        <v>190.08897587875563</v>
      </c>
      <c r="H4" s="37">
        <f>BDbDT_calcs!H50</f>
        <v>188.0178502146484</v>
      </c>
      <c r="I4" s="37">
        <f>BDbDT_calcs!I50</f>
        <v>185.72292342353691</v>
      </c>
      <c r="J4" s="37">
        <f>BDbDT_calcs!J50</f>
        <v>183.38114286448803</v>
      </c>
      <c r="K4" s="37">
        <f>BDbDT_calcs!K50</f>
        <v>181.00616476201546</v>
      </c>
      <c r="L4" s="37">
        <f>BDbDT_calcs!L50</f>
        <v>178.57897933884942</v>
      </c>
      <c r="M4" s="37">
        <f>BDbDT_calcs!M50</f>
        <v>176.10013583329589</v>
      </c>
      <c r="N4" s="37">
        <f>BDbDT_calcs!N50</f>
        <v>173.56992051244362</v>
      </c>
      <c r="O4" s="37">
        <f>BDbDT_calcs!O50</f>
        <v>170.93069194587957</v>
      </c>
      <c r="P4" s="37">
        <f>BDbDT_calcs!P50</f>
        <v>168.25983398255011</v>
      </c>
      <c r="Q4" s="37">
        <f>BDbDT_calcs!Q50</f>
        <v>165.53745256193505</v>
      </c>
      <c r="R4" s="37">
        <f>BDbDT_calcs!R50</f>
        <v>162.76276182706337</v>
      </c>
      <c r="S4" s="37">
        <f>BDbDT_calcs!S50</f>
        <v>159.78993569453533</v>
      </c>
      <c r="T4" s="37">
        <f>BDbDT_calcs!T50</f>
        <v>156.86292491308953</v>
      </c>
      <c r="U4" s="37">
        <f>BDbDT_calcs!U50</f>
        <v>153.97902770338115</v>
      </c>
      <c r="V4" s="37">
        <f>BDbDT_calcs!V50</f>
        <v>151.15391401426348</v>
      </c>
      <c r="W4" s="37">
        <f>BDbDT_calcs!W50</f>
        <v>148.42155890408782</v>
      </c>
      <c r="X4" s="37">
        <f>BDbDT_calcs!X50</f>
        <v>145.79687486912775</v>
      </c>
      <c r="Y4" s="37">
        <f>BDbDT_calcs!Y50</f>
        <v>143.23977126044107</v>
      </c>
      <c r="Z4" s="37">
        <f>BDbDT_calcs!Z50</f>
        <v>140.76567742918766</v>
      </c>
      <c r="AA4" s="37">
        <f>BDbDT_calcs!AA50</f>
        <v>138.40831049871935</v>
      </c>
      <c r="AB4" s="37">
        <f>BDbDT_calcs!AB50</f>
        <v>136.12765147465535</v>
      </c>
    </row>
    <row r="5" spans="1:28" x14ac:dyDescent="0.25">
      <c r="A5" s="4" t="s">
        <v>218</v>
      </c>
      <c r="B5" s="37">
        <f>BDbDT_calcs!B51</f>
        <v>74.53937423058477</v>
      </c>
      <c r="C5" s="37">
        <f>BDbDT_calcs!C51</f>
        <v>73.518312209674946</v>
      </c>
      <c r="D5" s="37">
        <f>BDbDT_calcs!D51</f>
        <v>72.236580844556499</v>
      </c>
      <c r="E5" s="37">
        <f>BDbDT_calcs!E51</f>
        <v>70.941983831981787</v>
      </c>
      <c r="F5" s="37">
        <f>BDbDT_calcs!F51</f>
        <v>69.634985651631652</v>
      </c>
      <c r="G5" s="37">
        <f>BDbDT_calcs!G51</f>
        <v>68.347003662227877</v>
      </c>
      <c r="H5" s="37">
        <f>BDbDT_calcs!H51</f>
        <v>67.031180146783797</v>
      </c>
      <c r="I5" s="37">
        <f>BDbDT_calcs!I51</f>
        <v>65.648861245502729</v>
      </c>
      <c r="J5" s="37">
        <f>BDbDT_calcs!J51</f>
        <v>64.290193489760938</v>
      </c>
      <c r="K5" s="37">
        <f>BDbDT_calcs!K51</f>
        <v>62.9522918318103</v>
      </c>
      <c r="L5" s="37">
        <f>BDbDT_calcs!L51</f>
        <v>61.665391165449464</v>
      </c>
      <c r="M5" s="37">
        <f>BDbDT_calcs!M51</f>
        <v>60.443884123807415</v>
      </c>
      <c r="N5" s="37">
        <f>BDbDT_calcs!N51</f>
        <v>59.241008384338762</v>
      </c>
      <c r="O5" s="37">
        <f>BDbDT_calcs!O51</f>
        <v>58.101738462349523</v>
      </c>
      <c r="P5" s="37">
        <f>BDbDT_calcs!P51</f>
        <v>56.979670007746883</v>
      </c>
      <c r="Q5" s="37">
        <f>BDbDT_calcs!Q51</f>
        <v>55.90424698262499</v>
      </c>
      <c r="R5" s="37">
        <f>BDbDT_calcs!R51</f>
        <v>54.859453892811096</v>
      </c>
      <c r="S5" s="37">
        <f>BDbDT_calcs!S51</f>
        <v>53.767934058019932</v>
      </c>
      <c r="T5" s="37">
        <f>BDbDT_calcs!T51</f>
        <v>52.707486581062369</v>
      </c>
      <c r="U5" s="37">
        <f>BDbDT_calcs!U51</f>
        <v>51.662165200388635</v>
      </c>
      <c r="V5" s="37">
        <f>BDbDT_calcs!V51</f>
        <v>50.660403029288851</v>
      </c>
      <c r="W5" s="37">
        <f>BDbDT_calcs!W51</f>
        <v>49.656672464497277</v>
      </c>
      <c r="X5" s="37">
        <f>BDbDT_calcs!X51</f>
        <v>48.694011268207241</v>
      </c>
      <c r="Y5" s="37">
        <f>BDbDT_calcs!Y51</f>
        <v>47.785928677297925</v>
      </c>
      <c r="Z5" s="37">
        <f>BDbDT_calcs!Z51</f>
        <v>46.887439665100686</v>
      </c>
      <c r="AA5" s="37">
        <f>BDbDT_calcs!AA51</f>
        <v>46.026652638767132</v>
      </c>
      <c r="AB5" s="37">
        <f>BDbDT_calcs!AB51</f>
        <v>45.173602544735139</v>
      </c>
    </row>
    <row r="6" spans="1:28" x14ac:dyDescent="0.25">
      <c r="A6" s="4" t="s">
        <v>219</v>
      </c>
      <c r="B6" s="37">
        <f>BDbDT_calcs!B52</f>
        <v>6.2366132714056608</v>
      </c>
      <c r="C6" s="37">
        <f>BDbDT_calcs!C52</f>
        <v>6.2568782374956609</v>
      </c>
      <c r="D6" s="37">
        <f>BDbDT_calcs!D52</f>
        <v>6.2531488494653944</v>
      </c>
      <c r="E6" s="37">
        <f>BDbDT_calcs!E52</f>
        <v>6.2573726078990681</v>
      </c>
      <c r="F6" s="37">
        <f>BDbDT_calcs!F52</f>
        <v>6.2623702698344044</v>
      </c>
      <c r="G6" s="37">
        <f>BDbDT_calcs!G52</f>
        <v>6.268172403631219</v>
      </c>
      <c r="H6" s="37">
        <f>BDbDT_calcs!H52</f>
        <v>6.2748439624911656</v>
      </c>
      <c r="I6" s="37">
        <f>BDbDT_calcs!I52</f>
        <v>6.2727575832142541</v>
      </c>
      <c r="J6" s="37">
        <f>BDbDT_calcs!J52</f>
        <v>6.2716993352013413</v>
      </c>
      <c r="K6" s="37">
        <f>BDbDT_calcs!K52</f>
        <v>6.2854791966881773</v>
      </c>
      <c r="L6" s="37">
        <f>BDbDT_calcs!L52</f>
        <v>6.2860305507153482</v>
      </c>
      <c r="M6" s="37">
        <f>BDbDT_calcs!M52</f>
        <v>6.2874507149706531</v>
      </c>
      <c r="N6" s="37">
        <f>BDbDT_calcs!N52</f>
        <v>6.289753595896272</v>
      </c>
      <c r="O6" s="37">
        <f>BDbDT_calcs!O52</f>
        <v>6.2929537851733164</v>
      </c>
      <c r="P6" s="37">
        <f>BDbDT_calcs!P52</f>
        <v>6.290191355712401</v>
      </c>
      <c r="Q6" s="37">
        <f>BDbDT_calcs!Q52</f>
        <v>6.2952193619804433</v>
      </c>
      <c r="R6" s="37">
        <f>BDbDT_calcs!R52</f>
        <v>6.2874939309197275</v>
      </c>
      <c r="S6" s="37">
        <f>BDbDT_calcs!S52</f>
        <v>6.2803336947542432</v>
      </c>
      <c r="T6" s="37">
        <f>BDbDT_calcs!T52</f>
        <v>6.2807924998742273</v>
      </c>
      <c r="U6" s="37">
        <f>BDbDT_calcs!U52</f>
        <v>6.2685334352244428</v>
      </c>
      <c r="V6" s="37">
        <f>BDbDT_calcs!V52</f>
        <v>6.2637636766075264</v>
      </c>
      <c r="W6" s="37">
        <f>BDbDT_calcs!W52</f>
        <v>6.259637029126873</v>
      </c>
      <c r="X6" s="37">
        <f>BDbDT_calcs!X52</f>
        <v>6.24941027898626</v>
      </c>
      <c r="Y6" s="37">
        <f>BDbDT_calcs!Y52</f>
        <v>6.2529933715494286</v>
      </c>
      <c r="Z6" s="37">
        <f>BDbDT_calcs!Z52</f>
        <v>6.2437298193407482</v>
      </c>
      <c r="AA6" s="37">
        <f>BDbDT_calcs!AA52</f>
        <v>6.2348443433237932</v>
      </c>
      <c r="AB6" s="37">
        <f>BDbDT_calcs!AB52</f>
        <v>6.2262526478139062</v>
      </c>
    </row>
    <row r="7" spans="1:28" x14ac:dyDescent="0.25">
      <c r="A7" s="4" t="s">
        <v>220</v>
      </c>
      <c r="B7" s="37">
        <f>BDbDT_calcs!B53</f>
        <v>21.924077470348553</v>
      </c>
      <c r="C7" s="37">
        <f>BDbDT_calcs!C53</f>
        <v>22.106655579680353</v>
      </c>
      <c r="D7" s="37">
        <f>BDbDT_calcs!D53</f>
        <v>22.16083914000739</v>
      </c>
      <c r="E7" s="37">
        <f>BDbDT_calcs!E53</f>
        <v>22.245860564688872</v>
      </c>
      <c r="F7" s="37">
        <f>BDbDT_calcs!F53</f>
        <v>22.318825222103481</v>
      </c>
      <c r="G7" s="37">
        <f>BDbDT_calcs!G53</f>
        <v>22.365812202643546</v>
      </c>
      <c r="H7" s="37">
        <f>BDbDT_calcs!H53</f>
        <v>22.4723920751808</v>
      </c>
      <c r="I7" s="37">
        <f>BDbDT_calcs!I53</f>
        <v>22.490518355341507</v>
      </c>
      <c r="J7" s="37">
        <f>BDbDT_calcs!J53</f>
        <v>22.526123260374494</v>
      </c>
      <c r="K7" s="37">
        <f>BDbDT_calcs!K53</f>
        <v>22.522411087251701</v>
      </c>
      <c r="L7" s="37">
        <f>BDbDT_calcs!L53</f>
        <v>22.535676738926139</v>
      </c>
      <c r="M7" s="37">
        <f>BDbDT_calcs!M53</f>
        <v>22.51040316060098</v>
      </c>
      <c r="N7" s="37">
        <f>BDbDT_calcs!N53</f>
        <v>22.516132550004617</v>
      </c>
      <c r="O7" s="37">
        <f>BDbDT_calcs!O53</f>
        <v>22.497607598661158</v>
      </c>
      <c r="P7" s="37">
        <f>BDbDT_calcs!P53</f>
        <v>22.455158515504255</v>
      </c>
      <c r="Q7" s="37">
        <f>BDbDT_calcs!Q53</f>
        <v>22.389042209986052</v>
      </c>
      <c r="R7" s="37">
        <f>BDbDT_calcs!R53</f>
        <v>22.326657179693214</v>
      </c>
      <c r="S7" s="37">
        <f>BDbDT_calcs!S53</f>
        <v>22.228903129079718</v>
      </c>
      <c r="T7" s="37">
        <f>BDbDT_calcs!T53</f>
        <v>22.080887371461181</v>
      </c>
      <c r="U7" s="37">
        <f>BDbDT_calcs!U53</f>
        <v>21.963596591744846</v>
      </c>
      <c r="V7" s="37">
        <f>BDbDT_calcs!V53</f>
        <v>21.822903667001182</v>
      </c>
      <c r="W7" s="37">
        <f>BDbDT_calcs!W53</f>
        <v>21.685420802838451</v>
      </c>
      <c r="X7" s="37">
        <f>BDbDT_calcs!X53</f>
        <v>21.577338749430123</v>
      </c>
      <c r="Y7" s="37">
        <f>BDbDT_calcs!Y53</f>
        <v>21.432023844452882</v>
      </c>
      <c r="Z7" s="37">
        <f>BDbDT_calcs!Z53</f>
        <v>21.328633689475559</v>
      </c>
      <c r="AA7" s="37">
        <f>BDbDT_calcs!AA53</f>
        <v>21.18766317617289</v>
      </c>
      <c r="AB7" s="37">
        <f>BDbDT_calcs!AB53</f>
        <v>21.087711812714161</v>
      </c>
    </row>
    <row r="8" spans="1:28" x14ac:dyDescent="0.25">
      <c r="A8" s="4" t="s">
        <v>221</v>
      </c>
      <c r="B8" s="37">
        <f>BDbDT_calcs!B54</f>
        <v>20.493349392539589</v>
      </c>
      <c r="C8" s="37">
        <f>BDbDT_calcs!C54</f>
        <v>20.573897602563317</v>
      </c>
      <c r="D8" s="37">
        <f>BDbDT_calcs!D54</f>
        <v>20.586112900774584</v>
      </c>
      <c r="E8" s="37">
        <f>BDbDT_calcs!E54</f>
        <v>20.605956706979001</v>
      </c>
      <c r="F8" s="37">
        <f>BDbDT_calcs!F54</f>
        <v>20.64411865062953</v>
      </c>
      <c r="G8" s="37">
        <f>BDbDT_calcs!G54</f>
        <v>20.663761840320184</v>
      </c>
      <c r="H8" s="37">
        <f>BDbDT_calcs!H54</f>
        <v>20.681033156838108</v>
      </c>
      <c r="I8" s="37">
        <f>BDbDT_calcs!I54</f>
        <v>20.664269583159214</v>
      </c>
      <c r="J8" s="37">
        <f>BDbDT_calcs!J54</f>
        <v>20.640617121025119</v>
      </c>
      <c r="K8" s="37">
        <f>BDbDT_calcs!K54</f>
        <v>20.609536968128886</v>
      </c>
      <c r="L8" s="37">
        <f>BDbDT_calcs!L54</f>
        <v>20.566091083965734</v>
      </c>
      <c r="M8" s="37">
        <f>BDbDT_calcs!M54</f>
        <v>20.510521441423666</v>
      </c>
      <c r="N8" s="37">
        <f>BDbDT_calcs!N54</f>
        <v>20.443035604193582</v>
      </c>
      <c r="O8" s="37">
        <f>BDbDT_calcs!O54</f>
        <v>20.363827099089264</v>
      </c>
      <c r="P8" s="37">
        <f>BDbDT_calcs!P54</f>
        <v>20.257874596577324</v>
      </c>
      <c r="Q8" s="37">
        <f>BDbDT_calcs!Q54</f>
        <v>20.140557804803446</v>
      </c>
      <c r="R8" s="37">
        <f>BDbDT_calcs!R54</f>
        <v>19.996860160360139</v>
      </c>
      <c r="S8" s="37">
        <f>BDbDT_calcs!S54</f>
        <v>19.834290562667757</v>
      </c>
      <c r="T8" s="37">
        <f>BDbDT_calcs!T54</f>
        <v>19.655714361781822</v>
      </c>
      <c r="U8" s="37">
        <f>BDbDT_calcs!U54</f>
        <v>19.461138281720991</v>
      </c>
      <c r="V8" s="37">
        <f>BDbDT_calcs!V54</f>
        <v>19.270252809301102</v>
      </c>
      <c r="W8" s="37">
        <f>BDbDT_calcs!W54</f>
        <v>19.058118862321276</v>
      </c>
      <c r="X8" s="37">
        <f>BDbDT_calcs!X54</f>
        <v>18.873704398640694</v>
      </c>
      <c r="Y8" s="37">
        <f>BDbDT_calcs!Y54</f>
        <v>18.687199215835701</v>
      </c>
      <c r="Z8" s="37">
        <f>BDbDT_calcs!Z54</f>
        <v>18.503222876759878</v>
      </c>
      <c r="AA8" s="37">
        <f>BDbDT_calcs!AA54</f>
        <v>18.326330001016704</v>
      </c>
      <c r="AB8" s="37">
        <f>BDbDT_calcs!AB54</f>
        <v>18.161021683125526</v>
      </c>
    </row>
    <row r="9" spans="1:28" x14ac:dyDescent="0.25">
      <c r="A9" s="4" t="s">
        <v>222</v>
      </c>
      <c r="B9" s="37">
        <f>BDbDT_calcs!B55</f>
        <v>284.49732342197836</v>
      </c>
      <c r="C9" s="37">
        <f>BDbDT_calcs!C55</f>
        <v>281.64601109743671</v>
      </c>
      <c r="D9" s="37">
        <f>BDbDT_calcs!D55</f>
        <v>277.66575508966059</v>
      </c>
      <c r="E9" s="37">
        <f>BDbDT_calcs!E55</f>
        <v>273.7068406330078</v>
      </c>
      <c r="F9" s="37">
        <f>BDbDT_calcs!F55</f>
        <v>269.66310246566178</v>
      </c>
      <c r="G9" s="37">
        <f>BDbDT_calcs!G55</f>
        <v>265.72832910117046</v>
      </c>
      <c r="H9" s="37">
        <f>BDbDT_calcs!H55</f>
        <v>261.81734229549994</v>
      </c>
      <c r="I9" s="37">
        <f>BDbDT_calcs!I55</f>
        <v>257.55443376512051</v>
      </c>
      <c r="J9" s="37">
        <f>BDbDT_calcs!J55</f>
        <v>253.33102789731046</v>
      </c>
      <c r="K9" s="37">
        <f>BDbDT_calcs!K55</f>
        <v>249.11596240137536</v>
      </c>
      <c r="L9" s="37">
        <f>BDbDT_calcs!L55</f>
        <v>244.95075454982398</v>
      </c>
      <c r="M9" s="37">
        <f>BDbDT_calcs!M55</f>
        <v>240.8133672269899</v>
      </c>
      <c r="N9" s="37">
        <f>BDbDT_calcs!N55</f>
        <v>236.74421904456756</v>
      </c>
      <c r="O9" s="37">
        <f>BDbDT_calcs!O55</f>
        <v>232.65882823573676</v>
      </c>
      <c r="P9" s="37">
        <f>BDbDT_calcs!P55</f>
        <v>228.61807875694802</v>
      </c>
      <c r="Q9" s="37">
        <f>BDbDT_calcs!Q55</f>
        <v>224.61979415729857</v>
      </c>
      <c r="R9" s="37">
        <f>BDbDT_calcs!R55</f>
        <v>220.68206730239208</v>
      </c>
      <c r="S9" s="37">
        <f>BDbDT_calcs!S55</f>
        <v>216.4931260834029</v>
      </c>
      <c r="T9" s="37">
        <f>BDbDT_calcs!T55</f>
        <v>212.40826443819381</v>
      </c>
      <c r="U9" s="37">
        <f>BDbDT_calcs!U55</f>
        <v>208.46370153253108</v>
      </c>
      <c r="V9" s="37">
        <f>BDbDT_calcs!V55</f>
        <v>204.61394141081033</v>
      </c>
      <c r="W9" s="37">
        <f>BDbDT_calcs!W55</f>
        <v>200.95453772984547</v>
      </c>
      <c r="X9" s="37">
        <f>BDbDT_calcs!X55</f>
        <v>197.37976745147361</v>
      </c>
      <c r="Y9" s="37">
        <f>BDbDT_calcs!Y55</f>
        <v>193.94602452819967</v>
      </c>
      <c r="Z9" s="37">
        <f>BDbDT_calcs!Z55</f>
        <v>190.62878765206139</v>
      </c>
      <c r="AA9" s="37">
        <f>BDbDT_calcs!AA55</f>
        <v>187.40401724158167</v>
      </c>
      <c r="AB9" s="37">
        <f>BDbDT_calcs!AB55</f>
        <v>184.28762750184219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27553.664002721842</v>
      </c>
      <c r="C2" s="37">
        <f>BDbDT_calcs!C58</f>
        <v>28048.98594201537</v>
      </c>
      <c r="D2" s="37">
        <f>BDbDT_calcs!D58</f>
        <v>28430.872883513784</v>
      </c>
      <c r="E2" s="37">
        <f>BDbDT_calcs!E58</f>
        <v>28811.067817551357</v>
      </c>
      <c r="F2" s="37">
        <f>BDbDT_calcs!F58</f>
        <v>29192.073172412503</v>
      </c>
      <c r="G2" s="37">
        <f>BDbDT_calcs!G58</f>
        <v>29574.766401075798</v>
      </c>
      <c r="H2" s="37">
        <f>BDbDT_calcs!H58</f>
        <v>29957.141986946557</v>
      </c>
      <c r="I2" s="37">
        <f>BDbDT_calcs!I58</f>
        <v>30290.63436207292</v>
      </c>
      <c r="J2" s="37">
        <f>BDbDT_calcs!J58</f>
        <v>30616.84707964983</v>
      </c>
      <c r="K2" s="37">
        <f>BDbDT_calcs!K58</f>
        <v>30935.352538299732</v>
      </c>
      <c r="L2" s="37">
        <f>BDbDT_calcs!L58</f>
        <v>31243.650849827281</v>
      </c>
      <c r="M2" s="37">
        <f>BDbDT_calcs!M58</f>
        <v>31541.35365426635</v>
      </c>
      <c r="N2" s="37">
        <f>BDbDT_calcs!N58</f>
        <v>31825.382913587375</v>
      </c>
      <c r="O2" s="37">
        <f>BDbDT_calcs!O58</f>
        <v>32094.70733300547</v>
      </c>
      <c r="P2" s="37">
        <f>BDbDT_calcs!P58</f>
        <v>32345.391084270061</v>
      </c>
      <c r="Q2" s="37">
        <f>BDbDT_calcs!Q58</f>
        <v>32576.981474773202</v>
      </c>
      <c r="R2" s="37">
        <f>BDbDT_calcs!R58</f>
        <v>32784.750536467865</v>
      </c>
      <c r="S2" s="37">
        <f>BDbDT_calcs!S58</f>
        <v>32931.539897277704</v>
      </c>
      <c r="T2" s="37">
        <f>BDbDT_calcs!T58</f>
        <v>33053.069291086729</v>
      </c>
      <c r="U2" s="37">
        <f>BDbDT_calcs!U58</f>
        <v>33151.339722100071</v>
      </c>
      <c r="V2" s="37">
        <f>BDbDT_calcs!V58</f>
        <v>33218.607762654377</v>
      </c>
      <c r="W2" s="37">
        <f>BDbDT_calcs!W58</f>
        <v>33257.077492418655</v>
      </c>
      <c r="X2" s="37">
        <f>BDbDT_calcs!X58</f>
        <v>33265.144099507728</v>
      </c>
      <c r="Y2" s="37">
        <f>BDbDT_calcs!Y58</f>
        <v>33256.716333510281</v>
      </c>
      <c r="Z2" s="37">
        <f>BDbDT_calcs!Z58</f>
        <v>33219.774745751223</v>
      </c>
      <c r="AA2" s="37">
        <f>BDbDT_calcs!AA58</f>
        <v>33156.54644962625</v>
      </c>
      <c r="AB2" s="37">
        <f>BDbDT_calcs!AB58</f>
        <v>33070.191387511724</v>
      </c>
    </row>
    <row r="3" spans="1:28" x14ac:dyDescent="0.25">
      <c r="A3" s="4" t="s">
        <v>216</v>
      </c>
      <c r="B3" s="37">
        <f>BDbDT_calcs!B59</f>
        <v>26147.243412888623</v>
      </c>
      <c r="C3" s="37">
        <f>BDbDT_calcs!C59</f>
        <v>26548.341633225882</v>
      </c>
      <c r="D3" s="37">
        <f>BDbDT_calcs!D59</f>
        <v>26844.274130410311</v>
      </c>
      <c r="E3" s="37">
        <f>BDbDT_calcs!E59</f>
        <v>27152.860952505365</v>
      </c>
      <c r="F3" s="37">
        <f>BDbDT_calcs!F59</f>
        <v>27481.662745466241</v>
      </c>
      <c r="G3" s="37">
        <f>BDbDT_calcs!G59</f>
        <v>27831.973810185529</v>
      </c>
      <c r="H3" s="37">
        <f>BDbDT_calcs!H59</f>
        <v>28206.199063756849</v>
      </c>
      <c r="I3" s="37">
        <f>BDbDT_calcs!I59</f>
        <v>28557.351808779265</v>
      </c>
      <c r="J3" s="37">
        <f>BDbDT_calcs!J59</f>
        <v>28926.945026876871</v>
      </c>
      <c r="K3" s="37">
        <f>BDbDT_calcs!K59</f>
        <v>29307.429422620182</v>
      </c>
      <c r="L3" s="37">
        <f>BDbDT_calcs!L59</f>
        <v>29698.106967289481</v>
      </c>
      <c r="M3" s="37">
        <f>BDbDT_calcs!M59</f>
        <v>30097.090538149143</v>
      </c>
      <c r="N3" s="37">
        <f>BDbDT_calcs!N59</f>
        <v>30497.915347912352</v>
      </c>
      <c r="O3" s="37">
        <f>BDbDT_calcs!O59</f>
        <v>30894.514585251301</v>
      </c>
      <c r="P3" s="37">
        <f>BDbDT_calcs!P59</f>
        <v>31285.616449560999</v>
      </c>
      <c r="Q3" s="37">
        <f>BDbDT_calcs!Q59</f>
        <v>31662.71465664787</v>
      </c>
      <c r="R3" s="37">
        <f>BDbDT_calcs!R59</f>
        <v>32023.570345126955</v>
      </c>
      <c r="S3" s="37">
        <f>BDbDT_calcs!S59</f>
        <v>32325.570793649986</v>
      </c>
      <c r="T3" s="37">
        <f>BDbDT_calcs!T59</f>
        <v>32602.815312492479</v>
      </c>
      <c r="U3" s="37">
        <f>BDbDT_calcs!U59</f>
        <v>32852.559475253845</v>
      </c>
      <c r="V3" s="37">
        <f>BDbDT_calcs!V59</f>
        <v>33067.660896526017</v>
      </c>
      <c r="W3" s="37">
        <f>BDbDT_calcs!W59</f>
        <v>33241.80430536421</v>
      </c>
      <c r="X3" s="37">
        <f>BDbDT_calcs!X59</f>
        <v>33377.111334179957</v>
      </c>
      <c r="Y3" s="37">
        <f>BDbDT_calcs!Y59</f>
        <v>33489.407755136555</v>
      </c>
      <c r="Z3" s="37">
        <f>BDbDT_calcs!Z59</f>
        <v>33564.492220793574</v>
      </c>
      <c r="AA3" s="37">
        <f>BDbDT_calcs!AA59</f>
        <v>33597.487248435835</v>
      </c>
      <c r="AB3" s="37">
        <f>BDbDT_calcs!AB59</f>
        <v>33589.277482137164</v>
      </c>
    </row>
    <row r="4" spans="1:28" x14ac:dyDescent="0.25">
      <c r="A4" s="4" t="s">
        <v>217</v>
      </c>
      <c r="B4" s="37">
        <f>BDbDT_calcs!B60</f>
        <v>47500.587621416038</v>
      </c>
      <c r="C4" s="37">
        <f>BDbDT_calcs!C60</f>
        <v>48284.05391166795</v>
      </c>
      <c r="D4" s="37">
        <f>BDbDT_calcs!D60</f>
        <v>48870.266216527787</v>
      </c>
      <c r="E4" s="37">
        <f>BDbDT_calcs!E60</f>
        <v>49461.590719157284</v>
      </c>
      <c r="F4" s="37">
        <f>BDbDT_calcs!F60</f>
        <v>50068.140805422685</v>
      </c>
      <c r="G4" s="37">
        <f>BDbDT_calcs!G60</f>
        <v>50690.061093158991</v>
      </c>
      <c r="H4" s="37">
        <f>BDbDT_calcs!H60</f>
        <v>51329.151417956491</v>
      </c>
      <c r="I4" s="37">
        <f>BDbDT_calcs!I60</f>
        <v>51900.120599810711</v>
      </c>
      <c r="J4" s="37">
        <f>BDbDT_calcs!J60</f>
        <v>52477.094520179577</v>
      </c>
      <c r="K4" s="37">
        <f>BDbDT_calcs!K60</f>
        <v>53050.82122400462</v>
      </c>
      <c r="L4" s="37">
        <f>BDbDT_calcs!L60</f>
        <v>53618.602023672174</v>
      </c>
      <c r="M4" s="37">
        <f>BDbDT_calcs!M60</f>
        <v>54178.496298440543</v>
      </c>
      <c r="N4" s="37">
        <f>BDbDT_calcs!N60</f>
        <v>54720.864471814166</v>
      </c>
      <c r="O4" s="37">
        <f>BDbDT_calcs!O60</f>
        <v>55240.538420560835</v>
      </c>
      <c r="P4" s="37">
        <f>BDbDT_calcs!P60</f>
        <v>55730.71523691465</v>
      </c>
      <c r="Q4" s="37">
        <f>BDbDT_calcs!Q60</f>
        <v>56184.268947841148</v>
      </c>
      <c r="R4" s="37">
        <f>BDbDT_calcs!R60</f>
        <v>56594.436023794864</v>
      </c>
      <c r="S4" s="37">
        <f>BDbDT_calcs!S60</f>
        <v>56891.693794295083</v>
      </c>
      <c r="T4" s="37">
        <f>BDbDT_calcs!T60</f>
        <v>57137.462245739094</v>
      </c>
      <c r="U4" s="37">
        <f>BDbDT_calcs!U60</f>
        <v>57332.108544232782</v>
      </c>
      <c r="V4" s="37">
        <f>BDbDT_calcs!V60</f>
        <v>57460.831164515439</v>
      </c>
      <c r="W4" s="37">
        <f>BDbDT_calcs!W60</f>
        <v>57519.857563435093</v>
      </c>
      <c r="X4" s="37">
        <f>BDbDT_calcs!X60</f>
        <v>57510.955948567738</v>
      </c>
      <c r="Y4" s="37">
        <f>BDbDT_calcs!Y60</f>
        <v>57463.911949955487</v>
      </c>
      <c r="Z4" s="37">
        <f>BDbDT_calcs!Z60</f>
        <v>57353.30811199623</v>
      </c>
      <c r="AA4" s="37">
        <f>BDbDT_calcs!AA60</f>
        <v>57176.058670881735</v>
      </c>
      <c r="AB4" s="37">
        <f>BDbDT_calcs!AB60</f>
        <v>56937.496289407638</v>
      </c>
    </row>
    <row r="5" spans="1:28" x14ac:dyDescent="0.25">
      <c r="A5" s="4" t="s">
        <v>218</v>
      </c>
      <c r="B5" s="37">
        <f>BDbDT_calcs!B61</f>
        <v>5762.7636258508355</v>
      </c>
      <c r="C5" s="37">
        <f>BDbDT_calcs!C61</f>
        <v>5848.3299628203395</v>
      </c>
      <c r="D5" s="37">
        <f>BDbDT_calcs!D61</f>
        <v>5910.992643481517</v>
      </c>
      <c r="E5" s="37">
        <f>BDbDT_calcs!E61</f>
        <v>5974.0925716456341</v>
      </c>
      <c r="F5" s="37">
        <f>BDbDT_calcs!F61</f>
        <v>6039.5873062935398</v>
      </c>
      <c r="G5" s="37">
        <f>BDbDT_calcs!G61</f>
        <v>6107.6369572853073</v>
      </c>
      <c r="H5" s="37">
        <f>BDbDT_calcs!H61</f>
        <v>6178.0925444335371</v>
      </c>
      <c r="I5" s="37">
        <f>BDbDT_calcs!I61</f>
        <v>6241.5732612172678</v>
      </c>
      <c r="J5" s="37">
        <f>BDbDT_calcs!J61</f>
        <v>6307.1435992270781</v>
      </c>
      <c r="K5" s="37">
        <f>BDbDT_calcs!K61</f>
        <v>6374.3973934768619</v>
      </c>
      <c r="L5" s="37">
        <f>BDbDT_calcs!L61</f>
        <v>6443.3427489640726</v>
      </c>
      <c r="M5" s="37">
        <f>BDbDT_calcs!M61</f>
        <v>6513.6499704139924</v>
      </c>
      <c r="N5" s="37">
        <f>BDbDT_calcs!N61</f>
        <v>6585.6305058007174</v>
      </c>
      <c r="O5" s="37">
        <f>BDbDT_calcs!O61</f>
        <v>6657.6222716362145</v>
      </c>
      <c r="P5" s="37">
        <f>BDbDT_calcs!P61</f>
        <v>6730.3685296743324</v>
      </c>
      <c r="Q5" s="37">
        <f>BDbDT_calcs!Q61</f>
        <v>6802.5112594568664</v>
      </c>
      <c r="R5" s="37">
        <f>BDbDT_calcs!R61</f>
        <v>6873.9030738653482</v>
      </c>
      <c r="S5" s="37">
        <f>BDbDT_calcs!S61</f>
        <v>6936.6459794368657</v>
      </c>
      <c r="T5" s="37">
        <f>BDbDT_calcs!T61</f>
        <v>6997.1716730016833</v>
      </c>
      <c r="U5" s="37">
        <f>BDbDT_calcs!U61</f>
        <v>7055.6032113969995</v>
      </c>
      <c r="V5" s="37">
        <f>BDbDT_calcs!V61</f>
        <v>7111.1332063471127</v>
      </c>
      <c r="W5" s="37">
        <f>BDbDT_calcs!W61</f>
        <v>7162.4643284348822</v>
      </c>
      <c r="X5" s="37">
        <f>BDbDT_calcs!X61</f>
        <v>7209.1439761343954</v>
      </c>
      <c r="Y5" s="37">
        <f>BDbDT_calcs!Y61</f>
        <v>7253.0171037194477</v>
      </c>
      <c r="Z5" s="37">
        <f>BDbDT_calcs!Z61</f>
        <v>7292.1014697255569</v>
      </c>
      <c r="AA5" s="37">
        <f>BDbDT_calcs!AA61</f>
        <v>7326.362675835323</v>
      </c>
      <c r="AB5" s="37">
        <f>BDbDT_calcs!AB61</f>
        <v>7355.0707120919878</v>
      </c>
    </row>
    <row r="6" spans="1:28" x14ac:dyDescent="0.25">
      <c r="A6" s="4" t="s">
        <v>219</v>
      </c>
      <c r="B6" s="37">
        <f>BDbDT_calcs!B62</f>
        <v>882.6365121493543</v>
      </c>
      <c r="C6" s="37">
        <f>BDbDT_calcs!C62</f>
        <v>903.20644390848815</v>
      </c>
      <c r="D6" s="37">
        <f>BDbDT_calcs!D62</f>
        <v>920.86451995621985</v>
      </c>
      <c r="E6" s="37">
        <f>BDbDT_calcs!E62</f>
        <v>939.83437650742133</v>
      </c>
      <c r="F6" s="37">
        <f>BDbDT_calcs!F62</f>
        <v>960.38279059261595</v>
      </c>
      <c r="G6" s="37">
        <f>BDbDT_calcs!G62</f>
        <v>982.48432432616028</v>
      </c>
      <c r="H6" s="37">
        <f>BDbDT_calcs!H62</f>
        <v>1006.1992991857436</v>
      </c>
      <c r="I6" s="37">
        <f>BDbDT_calcs!I62</f>
        <v>1029.9415351316131</v>
      </c>
      <c r="J6" s="37">
        <f>BDbDT_calcs!J62</f>
        <v>1054.6872520642289</v>
      </c>
      <c r="K6" s="37">
        <f>BDbDT_calcs!K62</f>
        <v>1080.2195117090926</v>
      </c>
      <c r="L6" s="37">
        <f>BDbDT_calcs!L62</f>
        <v>1106.808817599484</v>
      </c>
      <c r="M6" s="37">
        <f>BDbDT_calcs!M62</f>
        <v>1134.2352666026452</v>
      </c>
      <c r="N6" s="37">
        <f>BDbDT_calcs!N62</f>
        <v>1162.3520000583492</v>
      </c>
      <c r="O6" s="37">
        <f>BDbDT_calcs!O62</f>
        <v>1190.9535659131893</v>
      </c>
      <c r="P6" s="37">
        <f>BDbDT_calcs!P62</f>
        <v>1219.9331708882792</v>
      </c>
      <c r="Q6" s="37">
        <f>BDbDT_calcs!Q62</f>
        <v>1249.0604756035566</v>
      </c>
      <c r="R6" s="37">
        <f>BDbDT_calcs!R62</f>
        <v>1278.2229662881375</v>
      </c>
      <c r="S6" s="37">
        <f>BDbDT_calcs!S62</f>
        <v>1305.7119281141386</v>
      </c>
      <c r="T6" s="37">
        <f>BDbDT_calcs!T62</f>
        <v>1332.9748233156108</v>
      </c>
      <c r="U6" s="37">
        <f>BDbDT_calcs!U62</f>
        <v>1359.7263728354837</v>
      </c>
      <c r="V6" s="37">
        <f>BDbDT_calcs!V62</f>
        <v>1386.0153134990944</v>
      </c>
      <c r="W6" s="37">
        <f>BDbDT_calcs!W62</f>
        <v>1411.7519055957387</v>
      </c>
      <c r="X6" s="37">
        <f>BDbDT_calcs!X62</f>
        <v>1437.0582162724486</v>
      </c>
      <c r="Y6" s="37">
        <f>BDbDT_calcs!Y62</f>
        <v>1461.8411025574469</v>
      </c>
      <c r="Z6" s="37">
        <f>BDbDT_calcs!Z62</f>
        <v>1486.1464465546389</v>
      </c>
      <c r="AA6" s="37">
        <f>BDbDT_calcs!AA62</f>
        <v>1509.9581583100269</v>
      </c>
      <c r="AB6" s="37">
        <f>BDbDT_calcs!AB62</f>
        <v>1533.1671483158534</v>
      </c>
    </row>
    <row r="7" spans="1:28" x14ac:dyDescent="0.25">
      <c r="A7" s="4" t="s">
        <v>220</v>
      </c>
      <c r="B7" s="37">
        <f>BDbDT_calcs!B63</f>
        <v>966.69583486353065</v>
      </c>
      <c r="C7" s="37">
        <f>BDbDT_calcs!C63</f>
        <v>987.83973100762375</v>
      </c>
      <c r="D7" s="37">
        <f>BDbDT_calcs!D63</f>
        <v>1005.9525364585703</v>
      </c>
      <c r="E7" s="37">
        <f>BDbDT_calcs!E63</f>
        <v>1025.887985783572</v>
      </c>
      <c r="F7" s="37">
        <f>BDbDT_calcs!F63</f>
        <v>1045.9452011854698</v>
      </c>
      <c r="G7" s="37">
        <f>BDbDT_calcs!G63</f>
        <v>1067.6156230436702</v>
      </c>
      <c r="H7" s="37">
        <f>BDbDT_calcs!H63</f>
        <v>1089.9251848720414</v>
      </c>
      <c r="I7" s="37">
        <f>BDbDT_calcs!I63</f>
        <v>1110.9470029230665</v>
      </c>
      <c r="J7" s="37">
        <f>BDbDT_calcs!J63</f>
        <v>1132.3833040603085</v>
      </c>
      <c r="K7" s="37">
        <f>BDbDT_calcs!K63</f>
        <v>1155.4471926207373</v>
      </c>
      <c r="L7" s="37">
        <f>BDbDT_calcs!L63</f>
        <v>1179.019309881287</v>
      </c>
      <c r="M7" s="37">
        <f>BDbDT_calcs!M63</f>
        <v>1203.4546369109974</v>
      </c>
      <c r="N7" s="37">
        <f>BDbDT_calcs!N63</f>
        <v>1228.2191593131502</v>
      </c>
      <c r="O7" s="37">
        <f>BDbDT_calcs!O63</f>
        <v>1253.4067246262034</v>
      </c>
      <c r="P7" s="37">
        <f>BDbDT_calcs!P63</f>
        <v>1279.3415799113754</v>
      </c>
      <c r="Q7" s="37">
        <f>BDbDT_calcs!Q63</f>
        <v>1305.8500962840858</v>
      </c>
      <c r="R7" s="37">
        <f>BDbDT_calcs!R63</f>
        <v>1332.678439000555</v>
      </c>
      <c r="S7" s="37">
        <f>BDbDT_calcs!S63</f>
        <v>1357.8719065505986</v>
      </c>
      <c r="T7" s="37">
        <f>BDbDT_calcs!T63</f>
        <v>1383.2907555692852</v>
      </c>
      <c r="U7" s="37">
        <f>BDbDT_calcs!U63</f>
        <v>1408.5700210304824</v>
      </c>
      <c r="V7" s="37">
        <f>BDbDT_calcs!V63</f>
        <v>1433.304778344683</v>
      </c>
      <c r="W7" s="37">
        <f>BDbDT_calcs!W63</f>
        <v>1458.3711895569825</v>
      </c>
      <c r="X7" s="37">
        <f>BDbDT_calcs!X63</f>
        <v>1483.0638384363845</v>
      </c>
      <c r="Y7" s="37">
        <f>BDbDT_calcs!Y63</f>
        <v>1507.8043573529276</v>
      </c>
      <c r="Z7" s="37">
        <f>BDbDT_calcs!Z63</f>
        <v>1532.0124400140842</v>
      </c>
      <c r="AA7" s="37">
        <f>BDbDT_calcs!AA63</f>
        <v>1555.9148638740494</v>
      </c>
      <c r="AB7" s="37">
        <f>BDbDT_calcs!AB63</f>
        <v>1579.7469469623832</v>
      </c>
    </row>
    <row r="8" spans="1:28" x14ac:dyDescent="0.25">
      <c r="A8" s="4" t="s">
        <v>221</v>
      </c>
      <c r="B8" s="37">
        <f>BDbDT_calcs!B64</f>
        <v>1334.335264144813</v>
      </c>
      <c r="C8" s="37">
        <f>BDbDT_calcs!C64</f>
        <v>1381.0648831688011</v>
      </c>
      <c r="D8" s="37">
        <f>BDbDT_calcs!D64</f>
        <v>1423.214938781628</v>
      </c>
      <c r="E8" s="37">
        <f>BDbDT_calcs!E64</f>
        <v>1466.3037924405855</v>
      </c>
      <c r="F8" s="37">
        <f>BDbDT_calcs!F64</f>
        <v>1510.3471269884344</v>
      </c>
      <c r="G8" s="37">
        <f>BDbDT_calcs!G64</f>
        <v>1555.5284917233807</v>
      </c>
      <c r="H8" s="37">
        <f>BDbDT_calcs!H64</f>
        <v>1602.3534677308123</v>
      </c>
      <c r="I8" s="37">
        <f>BDbDT_calcs!I64</f>
        <v>1648.2867395159826</v>
      </c>
      <c r="J8" s="37">
        <f>BDbDT_calcs!J64</f>
        <v>1695.2992775092459</v>
      </c>
      <c r="K8" s="37">
        <f>BDbDT_calcs!K64</f>
        <v>1743.7743164559001</v>
      </c>
      <c r="L8" s="37">
        <f>BDbDT_calcs!L64</f>
        <v>1793.998317148993</v>
      </c>
      <c r="M8" s="37">
        <f>BDbDT_calcs!M64</f>
        <v>1845.5221858958848</v>
      </c>
      <c r="N8" s="37">
        <f>BDbDT_calcs!N64</f>
        <v>1898.8170355323709</v>
      </c>
      <c r="O8" s="37">
        <f>BDbDT_calcs!O64</f>
        <v>1953.5566128521971</v>
      </c>
      <c r="P8" s="37">
        <f>BDbDT_calcs!P64</f>
        <v>2009.6469158780374</v>
      </c>
      <c r="Q8" s="37">
        <f>BDbDT_calcs!Q64</f>
        <v>2067.1691934300493</v>
      </c>
      <c r="R8" s="37">
        <f>BDbDT_calcs!R64</f>
        <v>2125.699889646402</v>
      </c>
      <c r="S8" s="37">
        <f>BDbDT_calcs!S64</f>
        <v>2182.7321696060185</v>
      </c>
      <c r="T8" s="37">
        <f>BDbDT_calcs!T64</f>
        <v>2240.5721603956422</v>
      </c>
      <c r="U8" s="37">
        <f>BDbDT_calcs!U64</f>
        <v>2299.062698446553</v>
      </c>
      <c r="V8" s="37">
        <f>BDbDT_calcs!V64</f>
        <v>2357.8915359379725</v>
      </c>
      <c r="W8" s="37">
        <f>BDbDT_calcs!W64</f>
        <v>2416.7298886478147</v>
      </c>
      <c r="X8" s="37">
        <f>BDbDT_calcs!X64</f>
        <v>2475.8672497963348</v>
      </c>
      <c r="Y8" s="37">
        <f>BDbDT_calcs!Y64</f>
        <v>2534.8018396863308</v>
      </c>
      <c r="Z8" s="37">
        <f>BDbDT_calcs!Z64</f>
        <v>2593.4977617997365</v>
      </c>
      <c r="AA8" s="37">
        <f>BDbDT_calcs!AA64</f>
        <v>2651.3723405995929</v>
      </c>
      <c r="AB8" s="37">
        <f>BDbDT_calcs!AB64</f>
        <v>2708.3553866140824</v>
      </c>
    </row>
    <row r="9" spans="1:28" x14ac:dyDescent="0.25">
      <c r="A9" s="4" t="s">
        <v>222</v>
      </c>
      <c r="B9" s="37">
        <f>BDbDT_calcs!B65</f>
        <v>57547.18897145232</v>
      </c>
      <c r="C9" s="37">
        <f>BDbDT_calcs!C65</f>
        <v>58408.479023954933</v>
      </c>
      <c r="D9" s="37">
        <f>BDbDT_calcs!D65</f>
        <v>59032.021206257399</v>
      </c>
      <c r="E9" s="37">
        <f>BDbDT_calcs!E65</f>
        <v>59664.508594729261</v>
      </c>
      <c r="F9" s="37">
        <f>BDbDT_calcs!F65</f>
        <v>60317.650197319905</v>
      </c>
      <c r="G9" s="37">
        <f>BDbDT_calcs!G65</f>
        <v>60993.242068864507</v>
      </c>
      <c r="H9" s="37">
        <f>BDbDT_calcs!H65</f>
        <v>61689.665204520963</v>
      </c>
      <c r="I9" s="37">
        <f>BDbDT_calcs!I65</f>
        <v>62305.185765241993</v>
      </c>
      <c r="J9" s="37">
        <f>BDbDT_calcs!J65</f>
        <v>62929.245899675152</v>
      </c>
      <c r="K9" s="37">
        <f>BDbDT_calcs!K65</f>
        <v>63550.96819981491</v>
      </c>
      <c r="L9" s="37">
        <f>BDbDT_calcs!L65</f>
        <v>64165.423389813426</v>
      </c>
      <c r="M9" s="37">
        <f>BDbDT_calcs!M65</f>
        <v>64771.783018295995</v>
      </c>
      <c r="N9" s="37">
        <f>BDbDT_calcs!N65</f>
        <v>65356.953202972458</v>
      </c>
      <c r="O9" s="37">
        <f>BDbDT_calcs!O65</f>
        <v>65913.968824384414</v>
      </c>
      <c r="P9" s="37">
        <f>BDbDT_calcs!P65</f>
        <v>66437.090340169496</v>
      </c>
      <c r="Q9" s="37">
        <f>BDbDT_calcs!Q65</f>
        <v>66915.525565804419</v>
      </c>
      <c r="R9" s="37">
        <f>BDbDT_calcs!R65</f>
        <v>67342.81683898966</v>
      </c>
      <c r="S9" s="37">
        <f>BDbDT_calcs!S65</f>
        <v>67635.663066884081</v>
      </c>
      <c r="T9" s="37">
        <f>BDbDT_calcs!T65</f>
        <v>67866.552790498768</v>
      </c>
      <c r="U9" s="37">
        <f>BDbDT_calcs!U65</f>
        <v>68035.282448573387</v>
      </c>
      <c r="V9" s="37">
        <f>BDbDT_calcs!V65</f>
        <v>68125.663791625877</v>
      </c>
      <c r="W9" s="37">
        <f>BDbDT_calcs!W65</f>
        <v>68134.265191852974</v>
      </c>
      <c r="X9" s="37">
        <f>BDbDT_calcs!X65</f>
        <v>68060.490612861176</v>
      </c>
      <c r="Y9" s="37">
        <f>BDbDT_calcs!Y65</f>
        <v>67941.248585696783</v>
      </c>
      <c r="Z9" s="37">
        <f>BDbDT_calcs!Z65</f>
        <v>67745.945967789288</v>
      </c>
      <c r="AA9" s="37">
        <f>BDbDT_calcs!AA65</f>
        <v>67473.891749487826</v>
      </c>
      <c r="AB9" s="37">
        <f>BDbDT_calcs!AB65</f>
        <v>67130.128856635754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2026-08-17T20:29:06Z</dcterms:modified>
</cp:coreProperties>
</file>